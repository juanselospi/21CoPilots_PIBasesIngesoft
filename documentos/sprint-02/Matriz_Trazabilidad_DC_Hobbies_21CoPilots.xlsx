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triz de Trazabilidad" sheetId="1" r:id="rId5"/>
    <sheet state="visible" name="HU estimadas S1 y S2" sheetId="2" r:id="rId6"/>
    <sheet state="visible" name="Fuentes y pendientes" sheetId="3" r:id="rId7"/>
  </sheets>
  <definedNames/>
  <calcPr/>
</workbook>
</file>

<file path=xl/sharedStrings.xml><?xml version="1.0" encoding="utf-8"?>
<sst xmlns="http://schemas.openxmlformats.org/spreadsheetml/2006/main" count="1264" uniqueCount="600">
  <si>
    <t>Historias estimadas por sprint</t>
  </si>
  <si>
    <t>Fuentes, cobertura y pendientes</t>
  </si>
  <si>
    <t>Matriz de Trazabilidad de Requerimientos</t>
  </si>
  <si>
    <t>Especificación SRS del 31/08/2026 y refinamientos de Sprint 2 documentados hasta 22/10/2026.</t>
  </si>
  <si>
    <t>Historias y estimaciones para Sprints 1 y 2. RF vinculados según SRS y cambios del backlog de 22/10/2026.</t>
  </si>
  <si>
    <t>Twenty One CoPilots · DC Hobbies · línea base Sprint 0 + cambios Sprint 2 · corte documental: 22/10/2026</t>
  </si>
  <si>
    <t>Documento</t>
  </si>
  <si>
    <t>Pts. S1</t>
  </si>
  <si>
    <t>Fecha / sección</t>
  </si>
  <si>
    <t>ID Requerimiento</t>
  </si>
  <si>
    <t>Uso en la matriz</t>
  </si>
  <si>
    <t>Precisión / observación</t>
  </si>
  <si>
    <t>Descripción (SRS v3.1)</t>
  </si>
  <si>
    <t>Tipo</t>
  </si>
  <si>
    <t>Origen (stakeholder / elicitación)</t>
  </si>
  <si>
    <t>Actividad_ formato requerimientos (RF-RNF) refinado(5).pdf</t>
  </si>
  <si>
    <t>Prioridad (MoSCoW)</t>
  </si>
  <si>
    <t>SRS v3.1 · 31/08/2026</t>
  </si>
  <si>
    <t>Caso de uso / Historia relacionada</t>
  </si>
  <si>
    <t>67 RF y 21 RNF; redacción, prioridad original y mapeo HU-01 a HU-15</t>
  </si>
  <si>
    <t>Sprint asignado</t>
  </si>
  <si>
    <t>RF-64/65 descartados; RF-66 en suspenso. Referencia principal del Sprint 0.</t>
  </si>
  <si>
    <t>Estado según backlog</t>
  </si>
  <si>
    <t>Última actualización</t>
  </si>
  <si>
    <t>Épica Jira S2</t>
  </si>
  <si>
    <t>Matriz_Trazabilidad_actualizada(1).xlsx</t>
  </si>
  <si>
    <t>Observaciones / verificación</t>
  </si>
  <si>
    <t>RF-01</t>
  </si>
  <si>
    <t>Plantilla del profesor</t>
  </si>
  <si>
    <t>Estructura de columnas y registro por requisito</t>
  </si>
  <si>
    <t>Ejemplo de biblioteca ajeno al proyecto fue sustituido por DC Hobbies.</t>
  </si>
  <si>
    <t>Cuando el administrador registre o edite un producto, el sistema deberá almacenar código o SKU, categoría, subcategoría, nombre, descripción, costo del ítem, porcentaje de importación, margen porcentual, cantidad disponible, marca de contrapedido, proveedor e imagen, y deberá rechazar el guardado si el código está vacío o duplicado.</t>
  </si>
  <si>
    <t>Lección asincrónica - 20-10-2026.pdf</t>
  </si>
  <si>
    <t>Funcional</t>
  </si>
  <si>
    <t>Actividad a)</t>
  </si>
  <si>
    <t>SRS v3.1, pág. 15</t>
  </si>
  <si>
    <t>Solicita RF/RNF y HU estimadas para Sprint 1 y 2</t>
  </si>
  <si>
    <t>La segunda hoja registra puntos y cambios de alcance.</t>
  </si>
  <si>
    <t>Must</t>
  </si>
  <si>
    <t>Proyecto del curso - Sprint 2 instrucciones.pdf</t>
  </si>
  <si>
    <t>Secciones a–i</t>
  </si>
  <si>
    <t>HU-03</t>
  </si>
  <si>
    <t>Funciones obligatorias de administración, compra, seguridad y pruebas</t>
  </si>
  <si>
    <t>Sprint 2</t>
  </si>
  <si>
    <t>Entrega 10/11/2026; prevalece frente al SRS cuando amplía el alcance.</t>
  </si>
  <si>
    <t>Product-Backlog-actualizado.pdf</t>
  </si>
  <si>
    <t>22/10/2026</t>
  </si>
  <si>
    <t>Continuación en S2</t>
  </si>
  <si>
    <t>Estados de historias y cambios de prioridad y sprint</t>
  </si>
  <si>
    <t>Historias nuevas HU-16, HU-17 y PB-31.</t>
  </si>
  <si>
    <t>Sprint-Backlog.pdf</t>
  </si>
  <si>
    <t>SCRUM-77</t>
  </si>
  <si>
    <t>Épicas Jira, tareas y 88 puntos estimados S2</t>
  </si>
  <si>
    <t>Las tareas figuran en Por hacer en la fecha del documento.</t>
  </si>
  <si>
    <t>HU-03 continúa en S2 con edición completa de productos.</t>
  </si>
  <si>
    <t>requerimientos-profesor.md</t>
  </si>
  <si>
    <t>Clase 13/10/2026</t>
  </si>
  <si>
    <t>Nuevos pedidos, familias, créditos, carrito y existencias</t>
  </si>
  <si>
    <t>RF-02</t>
  </si>
  <si>
    <t>Origen de decisiones posteriores a las historias originales.</t>
  </si>
  <si>
    <t>plan-tareas-sprint-2.md</t>
  </si>
  <si>
    <t>Secciones A–K</t>
  </si>
  <si>
    <t>Asignaciones técnicas y vínculos RF/RNF</t>
  </si>
  <si>
    <t>El plan preliminar difiere en tareas frente al Sprint Backlog final.</t>
  </si>
  <si>
    <t>Cuando el administrador clasifique un producto, el sistema deberá permitirle asignarle una categoría y una subcategoría de las configuradas (coleccionables, juguetes, videojuegos y las que se agreguen).</t>
  </si>
  <si>
    <t>Documento-de-roles.pdf</t>
  </si>
  <si>
    <t>Equipo y roles Scrum</t>
  </si>
  <si>
    <t>No verifica por sí mismo la implementación funcional.</t>
  </si>
  <si>
    <t>Pts. S2</t>
  </si>
  <si>
    <t>Cambios del Sprint 2 frente al SRS (ID de seguimiento local, no código RF oficial)</t>
  </si>
  <si>
    <t>Código</t>
  </si>
  <si>
    <t>HU / PB</t>
  </si>
  <si>
    <t>Cambio documentado</t>
  </si>
  <si>
    <t>Relación con la línea base / observación</t>
  </si>
  <si>
    <t>S2-C01</t>
  </si>
  <si>
    <t>HU-03 / HU-16</t>
  </si>
  <si>
    <t>HU-16</t>
  </si>
  <si>
    <t>CRUD de familias con importación y margen heredado, con excepciones por producto.</t>
  </si>
  <si>
    <t>Extiende RF-02, RF-03, RF-04 y RF-51. SCRUM-78.</t>
  </si>
  <si>
    <t>HU-02 y HU-03 conservan 5 puntos en cada sprint por trabajo parcial. Los puntos reflejan planificación, no velocidad ni puntos terminados.</t>
  </si>
  <si>
    <t>S2-C02</t>
  </si>
  <si>
    <t>HU-17</t>
  </si>
  <si>
    <t>Editar líneas de pedidos no enviados, cambiar cantidades, agregar, quitar y reemplazar.</t>
  </si>
  <si>
    <t>Extiende RF-26 y RF-52; solo administradores. SCRUM-84.</t>
  </si>
  <si>
    <t>S2-C03</t>
  </si>
  <si>
    <t>HU-17 / HU-09</t>
  </si>
  <si>
    <t>Pedido manual multicanal: WhatsApp, Facebook, teléfono o presencial; guardar creador.</t>
  </si>
  <si>
    <t>ID</t>
  </si>
  <si>
    <t>HU-09 absorbida; extiende RF-17. SCRUM-84.</t>
  </si>
  <si>
    <t>SCRUM-77 / SCRUM-78</t>
  </si>
  <si>
    <t>S2-C04</t>
  </si>
  <si>
    <t>Historia / elemento</t>
  </si>
  <si>
    <t>Familias como entidad; HU-16 modifica la clasificación anterior.</t>
  </si>
  <si>
    <t>PB-31</t>
  </si>
  <si>
    <t>Otorgar crédito a favor cuando se retira un ítem ya pagado.</t>
  </si>
  <si>
    <t>Pts. estimados</t>
  </si>
  <si>
    <t>RF-03</t>
  </si>
  <si>
    <t>Nuevo sin RF en SRS; usar crédito en el pago pasa a Sprint 3. SCRUM-85.</t>
  </si>
  <si>
    <t>Sprint</t>
  </si>
  <si>
    <t>Cuando el administrador registre el costo de un producto, el sistema deberá calcular su costo total sumando al costo del ítem el porcentaje de importación configurado por aranceles.</t>
  </si>
  <si>
    <t>S2-C05</t>
  </si>
  <si>
    <t>Prioridad</t>
  </si>
  <si>
    <t>HU-10</t>
  </si>
  <si>
    <t>SRS v3.1, pág. 16</t>
  </si>
  <si>
    <t>Mostrar precio vigente en carrito y aviso “fuera de stock” antes del pago.</t>
  </si>
  <si>
    <t>Amplía RF-21/22/23/24; el precio se congela al pagar. SCRUM-82.</t>
  </si>
  <si>
    <t>HU-04 / HU-16</t>
  </si>
  <si>
    <t>Épica Jira</t>
  </si>
  <si>
    <t>S2-C06</t>
  </si>
  <si>
    <t>SCRUM-78</t>
  </si>
  <si>
    <t>Fuente</t>
  </si>
  <si>
    <t>Solo el administrador puede cancelar pedidos; devolver existencias.</t>
  </si>
  <si>
    <t>HU-16 agrega herencia de costo de importación por familia.</t>
  </si>
  <si>
    <t>Sustituye RF-28, que originalmente permitía cancelar al cliente. SCRUM-84.</t>
  </si>
  <si>
    <t>Observación de alcance</t>
  </si>
  <si>
    <t>RF-04</t>
  </si>
  <si>
    <t>S2-C07</t>
  </si>
  <si>
    <t>RF/RNF relacionados</t>
  </si>
  <si>
    <t>Cuando el administrador defina el margen porcentual de un producto, el sistema deberá calcular su precio de venta sin impuesto aplicando ese margen sobre el costo total, admitiendo márgenes negativos.</t>
  </si>
  <si>
    <t>HU-11</t>
  </si>
  <si>
    <t>Ofrecer “Crear cuenta” antes de comprar y también desde el checkout.</t>
  </si>
  <si>
    <t>HU-01</t>
  </si>
  <si>
    <t>Amplía RF-32 y cambia el momento del registro de RN-07. SCRUM-81.</t>
  </si>
  <si>
    <t>HU-16 agrega margen heredado y excepción por producto.</t>
  </si>
  <si>
    <t>RF-05</t>
  </si>
  <si>
    <t>Importación del catálogo desde Excel</t>
  </si>
  <si>
    <t>S2-C08</t>
  </si>
  <si>
    <t>Cuando el sistema muestre el precio final de un producto, deberá calcularlo agregando el 13 % de impuesto de venta sobre el precio sin impuesto.</t>
  </si>
  <si>
    <t>Historia de usuario</t>
  </si>
  <si>
    <t>PB-18</t>
  </si>
  <si>
    <t>Varias cuentas de administrador; una sola marcada propietaria.</t>
  </si>
  <si>
    <t>HU-04</t>
  </si>
  <si>
    <t>Sprint 1</t>
  </si>
  <si>
    <t>HU terminada S1</t>
  </si>
  <si>
    <t>Modifica RF-49 del SRS (administrador único). SCRUM-80.</t>
  </si>
  <si>
    <t>—</t>
  </si>
  <si>
    <t>Verificación SRS: Con precio sin impuesto de 150, verificar que el precio mostrado al cliente es 169,50.</t>
  </si>
  <si>
    <t>RF-06</t>
  </si>
  <si>
    <t>S2-C09</t>
  </si>
  <si>
    <t>Cuando el administrador registre un producto, el sistema deberá permitirle indicar si ese producto admite contrapedido.</t>
  </si>
  <si>
    <t>HU-12</t>
  </si>
  <si>
    <t>Terminada</t>
  </si>
  <si>
    <t>Definir moneda de pagos, productos y facturas.</t>
  </si>
  <si>
    <t>RNF-17 exige colones; el plan propone dólares. Pendiente Daniel. SCRUM-83.</t>
  </si>
  <si>
    <t>Product Backlog S2</t>
  </si>
  <si>
    <t>S2-C10</t>
  </si>
  <si>
    <t>Implementada en S1.</t>
  </si>
  <si>
    <t>Verificación SRS: Marcar y desmarcar la opción en un producto y confirmar que el valor persiste tras recargar.</t>
  </si>
  <si>
    <t>RF-57, RF-58, RF-59</t>
  </si>
  <si>
    <t>RF-07</t>
  </si>
  <si>
    <t>Cuando un usuario consulte un producto, el sistema deberá mostrar su disponibilidad como con existencias, sin existencias pero disponible por contrapedido o descontinuado.</t>
  </si>
  <si>
    <t>Eliminar físicamente producto sin relaciones; desactivar si tiene historial.</t>
  </si>
  <si>
    <t>HU-02</t>
  </si>
  <si>
    <t>Complementa RF-18 conforme a instrucciones de Sprint 2. SCRUM-77.</t>
  </si>
  <si>
    <t>SRS v3.1, pág. 17</t>
  </si>
  <si>
    <t>HU-05</t>
  </si>
  <si>
    <t>Inicio de sesión y permisos por rol</t>
  </si>
  <si>
    <t>S2-C11</t>
  </si>
  <si>
    <t>Agregar estado “en disputa” y conservar cambios en el historial.</t>
  </si>
  <si>
    <t>El Sprint 2 agrega control de producto descontinuado.</t>
  </si>
  <si>
    <t>Extiende RF-26 y la máquina de estados. SCRUM-84.</t>
  </si>
  <si>
    <t>RF-08</t>
  </si>
  <si>
    <t>Cuando un producto tenga cero existencias y no admita contrapedido, el sistema no deberá mostrarlo en el catálogo público.</t>
  </si>
  <si>
    <t>S2-C12</t>
  </si>
  <si>
    <t>PB-02 / HU-12</t>
  </si>
  <si>
    <t>Incluir modalidades y costo de entrega en checkout.</t>
  </si>
  <si>
    <t>Parcial</t>
  </si>
  <si>
    <t>RF-62 adelantado de Sprint 3 a Sprint 2. SCRUM-83.</t>
  </si>
  <si>
    <t>Se conserva la restricción de stock y contrapedido; no confundir con descontinuación.</t>
  </si>
  <si>
    <t>Continúa en S2 con recuperación y sesiones.</t>
  </si>
  <si>
    <t>RF-09</t>
  </si>
  <si>
    <t>RF-49, RF-50, RF-53, RF-54</t>
  </si>
  <si>
    <t>Cuando el administrador asigne una fecha de retiro a un producto de temporada, el sistema deberá dejar de mostrarlo en el catálogo público a partir de esa fecha.</t>
  </si>
  <si>
    <t>Pendientes de confirmación y actualización de estado</t>
  </si>
  <si>
    <t>Registro y clasificación de productos</t>
  </si>
  <si>
    <t>Should</t>
  </si>
  <si>
    <t>PB-08</t>
  </si>
  <si>
    <t>Sin sprint</t>
  </si>
  <si>
    <t>Sin implementar / priorizar</t>
  </si>
  <si>
    <t>Verificación SRS: Asignar una fecha de retiro pasada y confirmar que el producto desaparece del catálogo conservando su historial de ventas.</t>
  </si>
  <si>
    <t>Continúa en S2 con edición integral, baja y eliminación.</t>
  </si>
  <si>
    <t>RF-10</t>
  </si>
  <si>
    <t>RF-01, RF-02, RF-06, RF-18</t>
  </si>
  <si>
    <t>Cuando un usuario ingrese un término de búsqueda, el sistema deberá devolver los productos visibles cuyo nombre, código, categoría o subcategoría coincidan con ese término.</t>
  </si>
  <si>
    <t>Cálculo automático del precio de venta</t>
  </si>
  <si>
    <t>SRS v3.1, pág. 18</t>
  </si>
  <si>
    <t>HU-06</t>
  </si>
  <si>
    <t>Sprint 3</t>
  </si>
  <si>
    <t>Previsto S3</t>
  </si>
  <si>
    <t>Verificación SRS: Buscar por nombre parcial, por código exacto y por subcategoría; confirmar que cada búsqueda retorna el producto esperado y que no retorna productos ocultos por RF-08.</t>
  </si>
  <si>
    <t>En S2 se amplía herencia de margen por familia (HU-16).</t>
  </si>
  <si>
    <t>RF-11</t>
  </si>
  <si>
    <t>1</t>
  </si>
  <si>
    <t>RF-03, RF-04, RF-05, RF-43</t>
  </si>
  <si>
    <t>Cuando un usuario aplique un filtro u orden sobre el catálogo, el sistema deberá reordenar los resultados por precio, categoría, subcategoría o disponibilidad según lo seleccionado.</t>
  </si>
  <si>
    <t>Consulta del catálogo con disponibilidad real</t>
  </si>
  <si>
    <t>Consulta pública disponible.</t>
  </si>
  <si>
    <t>RF-07, RF-08, RF-12</t>
  </si>
  <si>
    <t>Verificación SRS: Ordenar por precio ascendente y verificar la secuencia. Filtrar por con existencias y confirmar que no aparecen productos en contrapedido.</t>
  </si>
  <si>
    <t>PB-16</t>
  </si>
  <si>
    <t>RF-12</t>
  </si>
  <si>
    <t>Resolver con Daniel la moneda de RNF-17; no asumir que los dólares sustituyen oficialmente a los colones.</t>
  </si>
  <si>
    <t>Cuando un usuario abra la ficha de un producto, el sistema deberá mostrar su imagen, nombre, descripción, precio final y disponibilidad.</t>
  </si>
  <si>
    <t>Inicio con vitrina y productos por categoría</t>
  </si>
  <si>
    <t>Elemento de backlog</t>
  </si>
  <si>
    <t>Media</t>
  </si>
  <si>
    <t>Verificación SRS: Abrir la ficha de un producto con imagen cargada y verificar que los cinco elementos se despliegan correctamente.</t>
  </si>
  <si>
    <t>No hay estimación de puntos documentada.</t>
  </si>
  <si>
    <t>RF-13</t>
  </si>
  <si>
    <t>Vitrina: relacionado con RF-07, RF-08, RF-12</t>
  </si>
  <si>
    <t>Cuando el administrador reciba mercancía, el sistema deberá permitirle registrar el ingreso indicando únicamente producto, cantidad y costo de compra, en una pantalla de un solo paso.</t>
  </si>
  <si>
    <t>PB-17</t>
  </si>
  <si>
    <t>Filtros del catálogo en panel de administrador</t>
  </si>
  <si>
    <t>HU-07</t>
  </si>
  <si>
    <t>Planificado S2</t>
  </si>
  <si>
    <t>2</t>
  </si>
  <si>
    <t>SCRUM-79</t>
  </si>
  <si>
    <t>Confirmar tarifas reales de envío (RF-62) y datos fiscales del negocio (RNF-18).</t>
  </si>
  <si>
    <t>Verificación SRS: Registrar el ingreso de 10 unidades y confirmar que la operación se completa sin salir de la pantalla y que las existencias aumentan en 10.</t>
  </si>
  <si>
    <t>Filtros administrativos: relacionado con RF-11</t>
  </si>
  <si>
    <t>RF-14</t>
  </si>
  <si>
    <t>Cuando se registre un ingreso de mercancía, el sistema deberá conservar la fecha y el costo de esa compra, sin sobrescribir los costos de compras anteriores del mismo producto.</t>
  </si>
  <si>
    <t>SRS v3.1, pág. 19</t>
  </si>
  <si>
    <t>3</t>
  </si>
  <si>
    <t>Must (S2)</t>
  </si>
  <si>
    <t>Asignar identificadores formales a cambios nuevos si la convención del profesor exige que sean RF/RNF independientes.</t>
  </si>
  <si>
    <t>Prioridad SRS: Should.  El Sprint 2 incluye histórico de costos en inventario; prioridad elevada frente al SRS.</t>
  </si>
  <si>
    <t>RF-15</t>
  </si>
  <si>
    <t>Cuando ocurra una venta, un ingreso de mercancía, una cancelación o un ajuste, el sistema deberá actualizar las existencias del producto afectado.</t>
  </si>
  <si>
    <t>HU-07 / HU-09 / HU-17</t>
  </si>
  <si>
    <t>Editar, desactivar y eliminar productos</t>
  </si>
  <si>
    <t>SCRUM-79 / SCRUM-84</t>
  </si>
  <si>
    <t>Actualizar existencias por ingreso, venta, cancelación o ajuste; incluye HU-17.</t>
  </si>
  <si>
    <t>RF-16</t>
  </si>
  <si>
    <t>Cuando las existencias de un producto queden en dos unidades o menos, el sistema deberá generar una alerta visible en el panel de administración. El umbral es fijo en dos unidades para todos los productos, sin configuración por producto ni por categoría.</t>
  </si>
  <si>
    <t>HU-08</t>
  </si>
  <si>
    <t>Umbral SRS: 2 unidades para todas las familias.</t>
  </si>
  <si>
    <t>4</t>
  </si>
  <si>
    <t>Planificada · continuación</t>
  </si>
  <si>
    <t>RF-17</t>
  </si>
  <si>
    <t>Actualizar estados de cada requisito tras implementar, ejecutar pruebas y adjuntar capturas; los estados presentes son documentales al 22/10.</t>
  </si>
  <si>
    <t>Sprint Backlog S2</t>
  </si>
  <si>
    <t>Cuando el administrador registre una venta realizada por otro canal, el sistema deberá descontarla del mismo inventario y contabilizarla en los reportes de ventas.</t>
  </si>
  <si>
    <t>Se replanifican los 5 puntos por trabajo parcial del S1.</t>
  </si>
  <si>
    <t>SRS v3.1, pág. 20</t>
  </si>
  <si>
    <t>HU-09 / HU-17</t>
  </si>
  <si>
    <t>Familias con costo y margen heredados</t>
  </si>
  <si>
    <t>SCRUM-84</t>
  </si>
  <si>
    <t>HU-09 se absorbió dentro de HU-17 para pedidos manuales con canal.</t>
  </si>
  <si>
    <t>RF-18</t>
  </si>
  <si>
    <t>Cuando el administrador elimine o descontinúe un producto, el sistema deberá retirarlo del catálogo público conservando su historial de movimientos y de ventas.</t>
  </si>
  <si>
    <t>Planificada · nueva</t>
  </si>
  <si>
    <t>Product y Sprint Backlog S2</t>
  </si>
  <si>
    <t>CRUD y herencia con excepción por producto.</t>
  </si>
  <si>
    <t>Relacionados: RF-02, RF-03, RF-04, RF-51 (nuevo S2)</t>
  </si>
  <si>
    <t>Prioridad SRS: Should.  S2 exige también eliminación física si no existen relaciones; si hay historial, desactivar.</t>
  </si>
  <si>
    <t>Ingreso de mercancía e historial</t>
  </si>
  <si>
    <t>RF-19</t>
  </si>
  <si>
    <t>Cuando se produzca cualquier movimiento de inventario, el sistema deberá conservarlo en un historial consultable y no modificable.</t>
  </si>
  <si>
    <t>Planificada</t>
  </si>
  <si>
    <t>HU-08 / HU-09</t>
  </si>
  <si>
    <t>Incluye ajustes y registro de costos.</t>
  </si>
  <si>
    <t>RF-13, RF-14, RF-15</t>
  </si>
  <si>
    <t>Prioridad SRS: Should.  El historial se incluye en HU-08 y apoya pedidos manuales de HU-17.</t>
  </si>
  <si>
    <t>RF-20</t>
  </si>
  <si>
    <t>Alerta de existencias bajas</t>
  </si>
  <si>
    <t>Cuando el administrador registre un ajuste de existencias por merma, pérdida o corrección, el sistema deberá exigir el motivo y el usuario responsable.</t>
  </si>
  <si>
    <t>Prioridad SRS: Should.  Ajustes de inventario requieren motivo y responsable.</t>
  </si>
  <si>
    <t>Agrupada en la misma épica de inventario.</t>
  </si>
  <si>
    <t>RF-16, RF-19, RF-20</t>
  </si>
  <si>
    <t>RF-21</t>
  </si>
  <si>
    <t>Cuando el cliente agregue un producto al carrito, el sistema deberá mostrar en él su nombre, imagen, cantidad y precio, y deberá calcular el total del carrito.</t>
  </si>
  <si>
    <t>Seguridad: sesiones y contraseña</t>
  </si>
  <si>
    <t>SRS v3.1, pág. 21</t>
  </si>
  <si>
    <t>SCRUM-80</t>
  </si>
  <si>
    <t>Continuación de HU-02: recuperar contraseña, cerrar sesión y seguridad complementaria.</t>
  </si>
  <si>
    <t>SCRUM-82</t>
  </si>
  <si>
    <t>El precio del carrito se recalcula; el precio pagado queda congelado en el pedido.</t>
  </si>
  <si>
    <t>PB-05</t>
  </si>
  <si>
    <t>Bitácora de auditoría</t>
  </si>
  <si>
    <t>RF-22</t>
  </si>
  <si>
    <t>Cuando el cliente intente agregar al carrito más unidades de las que hay en existencia, el sistema deberá impedirlo e informarle el máximo disponible.</t>
  </si>
  <si>
    <t>Parte de la épica de seguridad.</t>
  </si>
  <si>
    <t>RF-52; RNF-10</t>
  </si>
  <si>
    <t>Verificación SRS: Con 3 unidades en existencia, intentar agregar 4 y confirmar que el sistema lo bloquea indicando el máximo.</t>
  </si>
  <si>
    <t>RF-23</t>
  </si>
  <si>
    <t>Cuando el producto admita contrapedido y no tenga existencias, el sistema deberá permitir agregarlo al carrito indicando visiblemente que se trata de un contrapedido.</t>
  </si>
  <si>
    <t>Cuentas para empleados</t>
  </si>
  <si>
    <t>Se refiere a agregar productos sin stock mediante contrapedido; la matriz anterior lo describía incorrectamente.</t>
  </si>
  <si>
    <t>RF-24</t>
  </si>
  <si>
    <t>Cuentas de administrador; propietario con permisos especiales.</t>
  </si>
  <si>
    <t>Cuando el cliente abandone la sesión con productos en el carrito, el sistema deberá conservar su contenido por tiempo indefinido, hasta que el cliente lo modifique o complete la compra.</t>
  </si>
  <si>
    <t>RF-49; RF-50 (modifica cuenta única del SRS)</t>
  </si>
  <si>
    <t>PB-19</t>
  </si>
  <si>
    <t>Cerrar sesión y reglas de contraseña</t>
  </si>
  <si>
    <t>Verificación SRS: Agregar productos, cerrar la sesión, volver a ingresar y confirmar que el carrito conserva su contenido. Repetir la verificación tras un período prolongado de inactividad.</t>
  </si>
  <si>
    <t>RF-25</t>
  </si>
  <si>
    <t>Cuando el cliente confirme su pedido, el sistema deberá registrarlo con su fecha, el cliente, la modalidad de entrega y las líneas de ítems con su código y cantidad.</t>
  </si>
  <si>
    <t>SRS v3.1, pág. 22</t>
  </si>
  <si>
    <t>Duración de sesión parametrizable.</t>
  </si>
  <si>
    <t>RF-53; RF-54</t>
  </si>
  <si>
    <t>SCRUM-83</t>
  </si>
  <si>
    <t>Verificación SRS: Confirmar un pedido de dos líneas y verificar que los cuatro grupos de datos quedan almacenados correctamente.</t>
  </si>
  <si>
    <t>Registro del cliente</t>
  </si>
  <si>
    <t>RF-26</t>
  </si>
  <si>
    <t>Cuando cambie la situación de un pedido, el sistema deberá reflejar su estado como colocado, procesado, en tránsito o finalizado.</t>
  </si>
  <si>
    <t>HU-14 / HU-17</t>
  </si>
  <si>
    <t>Sprint 2 / 3</t>
  </si>
  <si>
    <t>Parcial S2; resto S3</t>
  </si>
  <si>
    <t>S2 amplía el flujo con “en disputa” y cambios de estado administrados.</t>
  </si>
  <si>
    <t>SCRUM-81</t>
  </si>
  <si>
    <t>RF-27</t>
  </si>
  <si>
    <t>Cuando el cliente consulte su pedido, el sistema deberá mostrarle el estado vigente de ese pedido.</t>
  </si>
  <si>
    <t>Registro disponible antes de comprar o desde el checkout; cambia el momento indicado en Sprint 0.</t>
  </si>
  <si>
    <t>RF-32, RF-33, RF-38</t>
  </si>
  <si>
    <t>HU-14 / HU-12</t>
  </si>
  <si>
    <t>Carrito persistente y contrapedido</t>
  </si>
  <si>
    <t>En S2 solo consulta básica; filtros del historial del cliente quedan para S3.</t>
  </si>
  <si>
    <t>RF-28</t>
  </si>
  <si>
    <t>Cuando el cliente solicite cancelar un pedido que aún no ha sido despachado, el sistema deberá cancelarlo y devolver las unidades al inventario.</t>
  </si>
  <si>
    <t>Precio actualizado y aviso de falta de stock.</t>
  </si>
  <si>
    <t>RF-21, RF-22, RF-23, RF-24</t>
  </si>
  <si>
    <t>Confirmar pedido, pago emulado y factura</t>
  </si>
  <si>
    <t>Revisado / sustituido S2</t>
  </si>
  <si>
    <t>Planificada · adelantada</t>
  </si>
  <si>
    <t>Originalmente estaba en S3; ahora es requisito mínimo S2.</t>
  </si>
  <si>
    <t>Sustituido por decisión posterior: el cliente NO cancela; solo administrador (HU-17).</t>
  </si>
  <si>
    <t>RF-29</t>
  </si>
  <si>
    <t>Cuando un cliente tenga pedidos activos, el sistema deberá permitirle crear pedidos adicionales sin imponer un límite de cantidad.</t>
  </si>
  <si>
    <t>RF-25, RF-30, RF-31, RF-39, RF-40, RF-41</t>
  </si>
  <si>
    <t>SRS v3.1, pág. 23</t>
  </si>
  <si>
    <t>PB-03</t>
  </si>
  <si>
    <t>PB-02</t>
  </si>
  <si>
    <t>Modalidad de entrega</t>
  </si>
  <si>
    <t>Verificación SRS: Crear cinco pedidos consecutivos con el mismo cliente sin que ninguno sea rechazado por cantidad.</t>
  </si>
  <si>
    <t>RF-30</t>
  </si>
  <si>
    <t>Cuando un pedido sea confirmado, el sistema deberá descontar las unidades del inventario y generar un identificador único de pedido.</t>
  </si>
  <si>
    <t>Se incorpora al flujo de checkout de HU-12.</t>
  </si>
  <si>
    <t>RF-62</t>
  </si>
  <si>
    <t>Administración de pedidos y ventas manuales</t>
  </si>
  <si>
    <t>La confirmación de compra descuenta el inventario con validación concurrente.</t>
  </si>
  <si>
    <t>RF-31</t>
  </si>
  <si>
    <t>Cuando el cliente confirme su pedido, el sistema deberá registrar la modalidad y la dirección de entrega asociadas.</t>
  </si>
  <si>
    <t>Absorbe HU-09 y PB-23; incluye cancelación solo administrativa.</t>
  </si>
  <si>
    <t>Relacionados: RF-15, RF-17, RF-26, RF-28, RF-52 (nuevo S2)</t>
  </si>
  <si>
    <t>Créditos a favor</t>
  </si>
  <si>
    <t>Verificación SRS: Confirmar un pedido con dirección de entrega y verificar que ambos datos quedan asociados al pedido.</t>
  </si>
  <si>
    <t>RF-32</t>
  </si>
  <si>
    <t>Cuando una persona realice su primera compra, el sistema deberá crear su registro de cliente en ese momento.</t>
  </si>
  <si>
    <t>SCRUM-85</t>
  </si>
  <si>
    <t>S2: otorgar crédito; usarlo en pago pasa al S3.</t>
  </si>
  <si>
    <t>Sin RF original; cambio nuevo del Sprint 2</t>
  </si>
  <si>
    <t>HU-09</t>
  </si>
  <si>
    <t>Ventas de otros canales</t>
  </si>
  <si>
    <t>S2 permite registrarse antes de comprar y también desde checkout (amplía SRS).</t>
  </si>
  <si>
    <t>Historia absorbida</t>
  </si>
  <si>
    <t>RF-33</t>
  </si>
  <si>
    <t>Cuando se registre un cliente, el sistema deberá almacenar su nombre, correo electrónico, teléfono, dirección y cédula física o jurídica.</t>
  </si>
  <si>
    <t>Incluida en HU-17</t>
  </si>
  <si>
    <t>SRS v3.1, pág. 24</t>
  </si>
  <si>
    <t>En SRS tenía 5 pts; en el Sprint Backlog vigente está absorbida por HU-17 y no suma puntos adicionales.</t>
  </si>
  <si>
    <t>RF-15, RF-17, RF-19</t>
  </si>
  <si>
    <t>PB-23</t>
  </si>
  <si>
    <t>Buscar y filtrar pedidos</t>
  </si>
  <si>
    <t>Verificación SRS: Crear un cliente con los cinco datos y confirmar su persistencia. Intentar guardar sin cédula y verificar el comportamiento definido.</t>
  </si>
  <si>
    <t>Elemento absorbido</t>
  </si>
  <si>
    <t>RF-34</t>
  </si>
  <si>
    <t>Cuando un cliente complete una compra, el sistema deberá incrementar su contador de compras y reevaluar su nivel de fidelidad según la escala nivel 1 con 0 compras, nivel 2 con 1 compra, nivel 3 con 2 compras y nivel 4 con 4 compras acumuladas.</t>
  </si>
  <si>
    <t>Sin estimación independiente.</t>
  </si>
  <si>
    <t>Contenido absorbido por HU-17</t>
  </si>
  <si>
    <t>HU-13</t>
  </si>
  <si>
    <t>PB-26</t>
  </si>
  <si>
    <t>Configurar tarifas de envío</t>
  </si>
  <si>
    <t>Elemento integrado</t>
  </si>
  <si>
    <t>Verificación SRS: Llevar un cliente por la escala completa y verificar que asciende de nivel exactamente al alcanzar 1, 2 y 4 compras.</t>
  </si>
  <si>
    <t>Incluida en PB-02</t>
  </si>
  <si>
    <t>RF-35</t>
  </si>
  <si>
    <t>Montos provisionales pendientes de confirmación.</t>
  </si>
  <si>
    <t>Cuando un cliente de nivel 4 realice una compra superior a ₡100 000, el sistema deberá aplicarle automáticamente un descuento del 15 % sobre el total. Para nivel 3 un 10%, para un nivel 2 un 5%, para nivel 1 no hay descuento. [SUP-03]</t>
  </si>
  <si>
    <t>PB-27</t>
  </si>
  <si>
    <t>Datos fiscales del negocio</t>
  </si>
  <si>
    <t>Incluida en HU-12</t>
  </si>
  <si>
    <t>Datos del emisor para la factura emulada.</t>
  </si>
  <si>
    <t>RF-41; RNF-18</t>
  </si>
  <si>
    <t>Verificación SRS: Con un cliente de nivel 3, confirmar una compra de ₡120 000 y verificar el descuento de ₡12 000. Repetir con una compra de ₡80 000 y verificar que no se aplica descuento. Repetir con un cliente de nivel 2 sobre ₡120 000 y verificar que tampoco se aplica.</t>
  </si>
  <si>
    <t>RF-36</t>
  </si>
  <si>
    <t>Cuando el cliente no haya alcanzado el nivel 3, el sistema deberá cobrarle el precio completo sin descuento y exigirle el pago por adelantado antes de procesar su pedido.</t>
  </si>
  <si>
    <t>SRS v3.1, pág. 25</t>
  </si>
  <si>
    <t>Verificación SRS: Confirmar una compra con un cliente de nivel inferior a 3 y verificar que el total no lleva descuento y que el pedido no avanza de colocado hasta registrarse el pago.</t>
  </si>
  <si>
    <t>RF-37</t>
  </si>
  <si>
    <t>Cuando un cliente consulte su cuenta, el sistema deberá mostrarle su historial de compras y su nivel de fidelidad vigente.</t>
  </si>
  <si>
    <t>PB-06</t>
  </si>
  <si>
    <t>Verificación SRS: Realizar tres compras y confirmar que las tres aparecen en el historial junto con el nivel correcto.</t>
  </si>
  <si>
    <t>RF-38</t>
  </si>
  <si>
    <t>Cuando una persona se registre o realice su primera compra, el sistema deberá solicitarle la aceptación de los términos y condiciones y registrar su consentimiento con fecha.</t>
  </si>
  <si>
    <t>Verificación SRS: Intentar completar el registro sin aceptar y confirmar el bloqueo; aceptar y verificar que el consentimiento queda almacenado con su fecha.</t>
  </si>
  <si>
    <t>RF-39</t>
  </si>
  <si>
    <t>Cuando el cliente llegue al paso de pago, el sistema deberá presentar la pasarela de tarjeta implementada como placeholder, permitiendo simular una transacción aprobada y una rechazada.</t>
  </si>
  <si>
    <t>Pasarela simulada; S2 exige además rechazo y conservar carrito (flujo HU-12).</t>
  </si>
  <si>
    <t>RF-40</t>
  </si>
  <si>
    <t>Cuando se resuelva el pago de un pedido, el sistema deberá registrar su estado de pago y la fecha de resolución.</t>
  </si>
  <si>
    <t>SRS v3.1, pág. 26</t>
  </si>
  <si>
    <t>Verificación SRS: Simular el pago de un pedido y verificar el estado y la fecha almacenados.</t>
  </si>
  <si>
    <t>RF-41</t>
  </si>
  <si>
    <t>Cuando un pedido quede pagado, el sistema deberá generar automáticamente la factura electrónica como placeholder, con los datos fiscales del cliente y del negocio.</t>
  </si>
  <si>
    <t>Factura simulada con datos fiscales y cédula del cliente.</t>
  </si>
  <si>
    <t>RF-42</t>
  </si>
  <si>
    <t>Cuando un cliente reporte un producto defectuoso, el sistema deberá permitir al administrador registrar la reposición del artículo, descontando la unidad de reposición del inventario, sin generar devolución de dinero.</t>
  </si>
  <si>
    <t>PB-07</t>
  </si>
  <si>
    <t>Por priorizar</t>
  </si>
  <si>
    <t>Verificación SRS: Registrar una reposición y verificar que las existencias bajan en 1 y que no se genera ningún movimiento de reembolso.</t>
  </si>
  <si>
    <t>RF-43</t>
  </si>
  <si>
    <t>Cuando el administrador marque un producto como defectuoso o de liquidación, el sistema deberá permitirle asignarle un margen negativo para venderlo bajo su costo.</t>
  </si>
  <si>
    <t>SRS v3.1, pág. 27</t>
  </si>
  <si>
    <t>Could</t>
  </si>
  <si>
    <t>Verificación SRS: Asignar margen negativo a un producto y confirmar que el catálogo lo publica con el precio reducido resultante.</t>
  </si>
  <si>
    <t>RF-44</t>
  </si>
  <si>
    <t>Cuando el administrador solicite el reporte de ventas, el sistema deberá mostrarlas por producto y por familia de producto, indicando monto vendido y cantidad de transacciones.</t>
  </si>
  <si>
    <t>HU-15</t>
  </si>
  <si>
    <t>Verificación SRS: Comparar el monto y el número de transacciones contra la suma de los pedidos del período en la base de datos.</t>
  </si>
  <si>
    <t>RF-45</t>
  </si>
  <si>
    <t>Cuando el administrador solicite el reporte de inventario, el sistema deberá mostrar las existencias vigentes de cada producto con su costo y su precio de venta.</t>
  </si>
  <si>
    <t>Verificación SRS: Comparar las existencias del reporte contra los saldos de la tabla de inventario para diez productos.</t>
  </si>
  <si>
    <t>RF-46</t>
  </si>
  <si>
    <t>Cuando el administrador solicite el reporte de pedidos por cliente, el sistema deberá listar los pedidos de cada cliente con su fecha, monto y estado.</t>
  </si>
  <si>
    <t>Verificación SRS: Verificar que el total de pedidos listados por cliente coincide con su historial.</t>
  </si>
  <si>
    <t>RF-47</t>
  </si>
  <si>
    <t>Cuando el administrador seleccione un rango de fechas, el sistema deberá acotar todos los reportes a ese rango.</t>
  </si>
  <si>
    <t>SRS v3.1, pág. 28</t>
  </si>
  <si>
    <t>Verificación SRS: Solicitar el mismo reporte con dos rangos distintos y verificar que los resultados difieren conforme a los datos del período.</t>
  </si>
  <si>
    <t>RF-48</t>
  </si>
  <si>
    <t>Cuando el administrador solicite exportar un reporte, el sistema deberá generar un archivo Excel o CSV con los mismos datos mostrados en pantalla.</t>
  </si>
  <si>
    <t>Verificación SRS: Exportar y comparar fila por fila el archivo generado contra la vista en pantalla.</t>
  </si>
  <si>
    <t>RF-49</t>
  </si>
  <si>
    <t>Cuando el sistema se ponga en marcha, deberá existir una única cuenta de administrador con permisos completos sobre el panel, y deberá permitir cambiar sus credenciales.</t>
  </si>
  <si>
    <t>HU-02 / PB-18</t>
  </si>
  <si>
    <t>Revisado S2</t>
  </si>
  <si>
    <t>SRS exigía un administrador único; S2 permite varios con un propietario (PB-18).</t>
  </si>
  <si>
    <t>RF-50</t>
  </si>
  <si>
    <t>Cuando un usuario inicie sesión, el sistema deberá otorgarle los permisos de su rol, siendo los roles Administrador y Cliente.</t>
  </si>
  <si>
    <t>SRS v3.1, pág. 29</t>
  </si>
  <si>
    <t>Verificación SRS: Intentar acceder al panel administrativo con una cuenta de cliente y confirmar que se bloquea.</t>
  </si>
  <si>
    <t>RF-51</t>
  </si>
  <si>
    <t>Cuando el administrador modifique precios, descuentos o márgenes de ganancia, el sistema deberá aplicar el cambio y recalcular los precios derivados de ese producto.</t>
  </si>
  <si>
    <t>PB-01 / HU-16</t>
  </si>
  <si>
    <t>Descuentos pasan a S3; HU-16 cambia herencia de precios en S2.</t>
  </si>
  <si>
    <t>RF-52</t>
  </si>
  <si>
    <t>Cuando se ejecute una operación sensible —cambio de precio, de margen, de descuento, ajuste de existencias o cancelación de pedido—, el sistema deberá registrarla en la bitácora con usuario, fecha y los valores anterior y nuevo.</t>
  </si>
  <si>
    <t>PB-05 / HU-17</t>
  </si>
  <si>
    <t>SCRUM-80 / SCRUM-84</t>
  </si>
  <si>
    <t>Prioridad SRS: Should.  S2 exige bitácora de cambios de pedidos y operaciones sensibles.</t>
  </si>
  <si>
    <t>RF-53</t>
  </si>
  <si>
    <t>Cuando una persona ingrese sus credenciales, el sistema deberá autenticarla contra cuentas internas de la plataforma, sin integración con proveedores de identidad externos.</t>
  </si>
  <si>
    <t>HU-02 / PB-19</t>
  </si>
  <si>
    <t>Verificación SRS: Ingresar con credenciales válidas e inválidas y verificar el resultado esperado. Confirmar que no existe opción de inicio de sesión con redes sociales.</t>
  </si>
  <si>
    <t>RF-54</t>
  </si>
  <si>
    <t>Cuando un usuario solicite recuperar su contraseña, el sistema deberá enviarle un enlace de restablecimiento de un solo uso y con vencimiento.</t>
  </si>
  <si>
    <t>SRS v3.1, pág. 30</t>
  </si>
  <si>
    <t>HU-02 sigue parcial; recuperación de contraseña es Should en S2.</t>
  </si>
  <si>
    <t>RF-55</t>
  </si>
  <si>
    <t>Cuando transcurra el período de respaldo configurado, el sistema deberá generar automáticamente una copia de seguridad de la base de datos.</t>
  </si>
  <si>
    <t>Won't</t>
  </si>
  <si>
    <t>PB-14</t>
  </si>
  <si>
    <t>Fuera de alcance inicial</t>
  </si>
  <si>
    <t>Verificación SRS: Verificar la existencia de los respaldos diarios y restaurar uno en ambiente de prueba.</t>
  </si>
  <si>
    <t>RF-56</t>
  </si>
  <si>
    <t>Cuando un usuario intente enviar una consulta, reclamo o sugerencia, el sistema deberá dirigirlo al correo electrónico de contacto del negocio.</t>
  </si>
  <si>
    <t>PB-04</t>
  </si>
  <si>
    <t>Verificación SRS: Confirmar que la sección de contacto expone el correo del negocio y que no existe ningún formulario de tiquetes en el sistema.</t>
  </si>
  <si>
    <t>RF-57</t>
  </si>
  <si>
    <t>Cuando el administrador cargue la hoja de Excel de productos, el sistema deberá importar código, categoría, subcategoría, nombre, descripción, costo, porcentaje de importación, margen, proveedor y cantidad disponible de todas las filas válidas.</t>
  </si>
  <si>
    <t>SRS v3.1, pág. 31</t>
  </si>
  <si>
    <t>Verificación SRS: Importar la hoja real del negocio y confirmar que el número de productos creados coincide con las filas válidas del archivo.</t>
  </si>
  <si>
    <t>RF-58</t>
  </si>
  <si>
    <t>Cuando una fila del archivo no cumpla las validaciones, el sistema deberá omitirla, continuar con las demás y entregar un reporte descargable con el número de fila y el motivo del rechazo.</t>
  </si>
  <si>
    <t>Verificación SRS: Importar un archivo con filas inválidas (código vacío, costo no numérico) y verificar que el reporte identifica cada una con su motivo.</t>
  </si>
  <si>
    <t>RF-59</t>
  </si>
  <si>
    <t>Cuando se reejecute una importación ya realizada, el sistema deberá actualizar los registros existentes por código sin crear duplicados.</t>
  </si>
  <si>
    <t>Verificación SRS: Importar dos veces la misma hoja y confirmar que el total de productos no cambia.</t>
  </si>
  <si>
    <t>RF-60</t>
  </si>
  <si>
    <t>Cuando el administrador cargue el archivo de clientes, el sistema deberá importar sus datos y asociarles su historial de compras y su nivel de fidelidad calculado.</t>
  </si>
  <si>
    <t>SRS v3.1, pág. 32</t>
  </si>
  <si>
    <t>PB-09</t>
  </si>
  <si>
    <t>Verificación SRS: Importar y verificar que el historial queda ligado al cliente correcto y que su nivel corresponde a su cantidad de compras.</t>
  </si>
  <si>
    <t>RF-61</t>
  </si>
  <si>
    <t>Cuando el cliente escoja su forma de pago, el sistema deberá ofrecer SINPE Móvil, efectivo o datáfono además de la tarjeta.</t>
  </si>
  <si>
    <t>PB-11</t>
  </si>
  <si>
    <t>Fuera del alcance inicial</t>
  </si>
  <si>
    <t>Verificación SRS: Confirmar que cada método adicional aparece como opción y deja el pedido con el estado de pago correspondiente. Posterior a la tarjeta (RF-39), que es la prioridad declarada por el cliente.</t>
  </si>
  <si>
    <t>Cuando el cliente seleccione su modalidad de entrega, el sistema deberá ofrecer mensajero, Uber Flash, Correos de Costa Rica o entrega personal, y deberá cargar su costo al cliente dentro del total del pedido.</t>
  </si>
  <si>
    <t>PB-02 se adelantó del S3 al S2; tarifas sujetas a definición del cliente.</t>
  </si>
  <si>
    <t>RF-63</t>
  </si>
  <si>
    <t>Cuando el pedido sea despachado, el sistema deberá registrar el número de guía y mostrarlo al cliente.</t>
  </si>
  <si>
    <t>SRS v3.1, pág. 33</t>
  </si>
  <si>
    <t>PB-10</t>
  </si>
  <si>
    <t>Verificación SRS: Registrar una guía y confirmar que el cliente la visualiza desde su historial de pedidos.</t>
  </si>
  <si>
    <t>RF-66</t>
  </si>
  <si>
    <t>Cuando el administrador cree un cupón de descuento, el sistema deberá aplicarlo según su vigencia, tope de usos y condiciones.</t>
  </si>
  <si>
    <t>SRS v3.1, pág. 34</t>
  </si>
  <si>
    <t>PB-15</t>
  </si>
  <si>
    <t>En suspenso</t>
  </si>
  <si>
    <t>Verificación SRS: Pendiente. El descuento por nivel de fidelidad (RF-35) puede sustituir esta necesidad; el cliente no se ha pronunciado.</t>
  </si>
  <si>
    <t>RF-67</t>
  </si>
  <si>
    <t>Cuando cambie el estado de un pedido, el sistema deberá notificar al cliente por correo electrónico.</t>
  </si>
  <si>
    <t>PB-12</t>
  </si>
  <si>
    <t>Verificación SRS: Cambiar el estado de un pedido y confirmar la recepción de la notificación con el estado nuevo.</t>
  </si>
  <si>
    <t>RF-68</t>
  </si>
  <si>
    <t>Cuando un cliente de nivel 3 llegue al paso de pago, el sistema deberá habilitarle adicionalmente el pago contra entrega, además de los métodos anticipados.</t>
  </si>
  <si>
    <t>PB-13</t>
  </si>
  <si>
    <t>Verificación SRS: Llegar al checkout con un cliente de nivel 3 y confirmar que aparece la opción de pago contra entrega. Repetir con un cliente de nivel 2 y confirmar que no aparece. Solo ejercitable una vez implementado RF-61 (efectivo o datáfono).</t>
  </si>
  <si>
    <t>RF-69</t>
  </si>
  <si>
    <t>Cuando un pedido quede con pago contra entrega, el sistema deberá dejarlo en estado de pago pendiente de cobro y listarlo en la vista de cobros por realizar del administrador.</t>
  </si>
  <si>
    <t>Verificación SRS: Confirmar un pedido contra entrega y verificar que aparece en la lista de cobros pendientes; registrar el cobro y verificar que sale de la lista.</t>
  </si>
  <si>
    <t>RNF-01</t>
  </si>
  <si>
    <t>El catálogo debe completar su carga inicial en 3 segundos o menos sobre una conexión móvil 4G promedio. [S]</t>
  </si>
  <si>
    <t>No funcional</t>
  </si>
  <si>
    <t>SRS v3.1, pág. 35 (propuesta equipo)</t>
  </si>
  <si>
    <t>No especificada</t>
  </si>
  <si>
    <t>Transversal (S1–S2)</t>
  </si>
  <si>
    <t>Sin verificación individual</t>
  </si>
  <si>
    <t>Verificación SRS: Medir el tiempo de carga en 10 ejecuciones con una herramienta de análisis de rendimiento; la mediana debe ser ≤ 3 s.</t>
  </si>
  <si>
    <t>RNF-02</t>
  </si>
  <si>
    <t>El sistema debe sostener 50 usuarios concurrentes sin que el tiempo de respuesta del catálogo supere los 3 segundos, sobre un catálogo de aproximadamente 200 productos. [S — dimensionado con el volumen confirmado en R-02]</t>
  </si>
  <si>
    <t>Verificación SRS: Prueba de carga con 50 usuarios simultáneos durante 10 minutos sobre un catálogo de 200 SKU; el percentil 95 del tiempo de respuesta debe mantenerse bajo el umbral.</t>
  </si>
  <si>
    <t>RNF-03</t>
  </si>
  <si>
    <t>Los reportes deben responder en 5 segundos o menos sobre el histórico completo de ventas.</t>
  </si>
  <si>
    <t>Verificación SRS: Ejecutar el reporte de ventas sobre todo el histórico cargado y medir el tiempo de respuesta.</t>
  </si>
  <si>
    <t>RNF-04</t>
  </si>
  <si>
    <t>El sistema debe mantener una disponibilidad ≥ 99 % mensual durante el horario comercial.</t>
  </si>
  <si>
    <t>Transversal</t>
  </si>
  <si>
    <t>Verificación SRS: Monitoreo de disponibilidad durante un mes calendario; el tiempo fuera de servicio acumulado no debe exceder el 1 % de las horas de horario comercial.</t>
  </si>
  <si>
    <t>RNF-05</t>
  </si>
  <si>
    <t>El sistema debe generar un respaldo automático diario de la base de datos y conservar al menos los 7 más recientes.</t>
  </si>
  <si>
    <t>SRS v3.1, pág. 36 (propuesta equipo)</t>
  </si>
  <si>
    <t>Verificación SRS: Verificar la existencia de 7 respaldos consecutivos y restaurar el más antiguo en ambiente de prueba con éxito.</t>
  </si>
  <si>
    <t>RNF-06</t>
  </si>
  <si>
    <t>El 100 % de las operaciones de inventario y de registro de ventas debe poder completarse aunque los componentes placeholder de pago y facturación no respondan.</t>
  </si>
  <si>
    <t>HU-07 / HU-17</t>
  </si>
  <si>
    <t>Verificación SRS: Deshabilitar ambos placeholder y completar un ingreso de mercancía y una venta de canal externo sin bloqueos.</t>
  </si>
  <si>
    <t>RNF-07</t>
  </si>
  <si>
    <t>El 100 % del tráfico debe transmitirse cifrado sobre HTTPS con TLS 1.2 o superior.</t>
  </si>
  <si>
    <t>Verificación SRS: Escaneo de los endpoints publicados: ninguno debe responder por HTTP sin redirección a HTTPS.</t>
  </si>
  <si>
    <t>RNF-08</t>
  </si>
  <si>
    <t>Las contraseñas deben almacenarse mediante una función de hash de un solo sentido con salt; ninguna debe ser recuperable en texto claro ni por descifrado.</t>
  </si>
  <si>
    <t>Implementado según plan</t>
  </si>
  <si>
    <t>El plan del S2 reporta bcrypt implementado desde S1.</t>
  </si>
  <si>
    <t>RNF-09</t>
  </si>
  <si>
    <t>El sistema no debe almacenar datos de tarjeta en ninguna tabla, archivo ni registro de bitácora. Al ser la pasarela un placeholder, no debe circular ningún dato real de tarjeta por el sistema.</t>
  </si>
  <si>
    <t>No guardar datos reales de tarjeta, ni siquiera en los logs de pago emulado.</t>
  </si>
  <si>
    <t>RNF-10</t>
  </si>
  <si>
    <t>El acceso a la modificación de precios, descuentos y márgenes debe estar restringido por rol, y el 100 % de los intentos no autorizados debe quedar registrado.</t>
  </si>
  <si>
    <t>SRS v3.1, pág. 37 (propuesta equipo)</t>
  </si>
  <si>
    <t>HU-02 / PB-05 / HU-17</t>
  </si>
  <si>
    <t>Restringir por rol cambios de precios/márgenes y registrar intentos denegados.</t>
  </si>
  <si>
    <t>RNF-11</t>
  </si>
  <si>
    <t>El registro de un ingreso de mercancía debe completarse en una sola pantalla y en 4 interacciones o menos (seleccionar producto, indicar cantidad, indicar costo, confirmar).</t>
  </si>
  <si>
    <t>SRS v3.1, pág. 37</t>
  </si>
  <si>
    <t>La pantalla de mercancía debe permitir la tarea en ≤ 4 interacciones.</t>
  </si>
  <si>
    <t>RNF-12</t>
  </si>
  <si>
    <t>La interfaz debe ser responsiva y permitir completar el flujo de compra desde un ancho de pantalla de 360 px, sin desplazamiento horizontal ni elementos superpuestos.</t>
  </si>
  <si>
    <t>HU-10 / HU-12</t>
  </si>
  <si>
    <t>Verificación SRS: Recorrer el flujo completo de compra en anchos de 360 px, 768 px y 1280 px verificando ausencia de defectos de disposición.</t>
  </si>
  <si>
    <t>RNF-13</t>
  </si>
  <si>
    <t>El 100 % de los textos de la interfaz debe estar en español de Costa Rica.</t>
  </si>
  <si>
    <t>HU-05 / HU-10</t>
  </si>
  <si>
    <t>Verificación SRS: Revisión de todas las pantallas: cero textos en otro idioma o variante regional.</t>
  </si>
  <si>
    <t>RNF-14</t>
  </si>
  <si>
    <t>Un administrador sin formación técnica debe completar sin ayuda las tareas frecuentes tras un máximo de 1 hora de capacitación.</t>
  </si>
  <si>
    <t>SRS v3.1, pág. 38 (propuesta equipo)</t>
  </si>
  <si>
    <t>HU-03 / HU-07</t>
  </si>
  <si>
    <t>Verificación SRS: Prueba con un usuario representativo: debe completar alta de producto, ingreso de mercancía y consulta de reportes sin asistencia.</t>
  </si>
  <si>
    <t>RNF-15</t>
  </si>
  <si>
    <t>La experiencia de catálogo y carrito debe seguir los patrones de las referencias señaladas por el cliente: Amazon, LEGO, eBay, Target y Walmart.</t>
  </si>
  <si>
    <t>Verificación SRS: Revisión comparativa de la disposición del catálogo, la ficha de producto y el carrito contra las referencias; documentar las decisiones de diseño adoptadas.</t>
  </si>
  <si>
    <t>RNF-16</t>
  </si>
  <si>
    <t>El tratamiento de datos personales debe cumplir la Ley N.º 8968 de Costa Rica, con consentimiento informado registrado con fecha y política de privacidad accesible.</t>
  </si>
  <si>
    <t>SRS v3.1, pág. 38</t>
  </si>
  <si>
    <t>Exige consentimiento y política de privacidad accesible; no solo casilla de términos.</t>
  </si>
  <si>
    <t>RNF-17</t>
  </si>
  <si>
    <t>Todos los montos deben expresarse en colones costarricenses y calcular el impuesto de venta del 13 % sobre el precio sin impuesto.</t>
  </si>
  <si>
    <t>HU-04 / HU-12</t>
  </si>
  <si>
    <t>Pendiente confirmación</t>
  </si>
  <si>
    <t>Pendiente cliente</t>
  </si>
  <si>
    <t>SRS indica colones; planificación del S2 propone dólares. Sin decisión final del cliente.</t>
  </si>
  <si>
    <t>RNF-18</t>
  </si>
  <si>
    <t>La factura generada debe contener los datos fiscales de la sociedad y la cédula física o jurídica del cliente, aunque su emisión sea un placeholder.</t>
  </si>
  <si>
    <t>SRS v3.1, pág. 39 (propuesta equipo)</t>
  </si>
  <si>
    <t>Los datos fiscales del negocio son necesarios para la factura emulada de S2.</t>
  </si>
  <si>
    <t>RNF-19</t>
  </si>
  <si>
    <t>El código debe residir en un repositorio con control de versiones, con historial trazable por integrante.</t>
  </si>
  <si>
    <t>HU-01 / HU-03</t>
  </si>
  <si>
    <t>El equipo conserva repositorio y flujo de versiones desde S1.</t>
  </si>
  <si>
    <t>RNF-20</t>
  </si>
  <si>
    <t>Los componentes placeholder de pago y facturación deben estar aislados tras una interfaz propia, de modo que su sustitución por una integración real no obligue a modificar la lógica de pedidos.</t>
  </si>
  <si>
    <t>Verificación SRS: Revisión de diseño: la lógica de pedidos no debe referenciar directamente ninguna implementación concreta de pago o facturación.</t>
  </si>
  <si>
    <t>RNF-21</t>
  </si>
  <si>
    <t>Deben entregarse el manual de usuario del módulo administrativo y la documentación técnica de despliegue.</t>
  </si>
  <si>
    <t>Transversal / entrega final</t>
  </si>
  <si>
    <t>Verificación SRS: Una persona ajena al equipo debe lograr desplegar el sistema siguiendo únicamente la documentación entregada.</t>
  </si>
  <si>
    <t>RF-64 y RF-65 están descartados en el SRS. Los 67 RF incluidos abarcan RF-01 a RF-63 y RF-66 a RF-69; RNF-01 a RNF-21. Las decisiones de S2 prevalecen donde modifican el SRS.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</si>
</sst>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13">
    <font>
      <sz val="11.0"/>
      <color rgb="FF000000"/>
      <name val="Carlito"/>
      <scheme val="minor"/>
    </font>
    <font>
      <b/>
      <sz val="15.0"/>
      <color rgb="FF1F3864"/>
      <name val="Arial"/>
    </font>
    <font>
      <sz val="10.0"/>
      <color rgb="FF63758B"/>
      <name val="Arial"/>
    </font>
    <font>
      <sz val="11.0"/>
      <color theme="1"/>
      <name val="Carlito"/>
    </font>
    <font>
      <b/>
      <sz val="11.0"/>
      <color rgb="FF1F3864"/>
      <name val="Arial"/>
    </font>
    <font>
      <b/>
      <sz val="10.0"/>
      <color rgb="FFFFFFFF"/>
      <name val="Arial"/>
    </font>
    <font>
      <sz val="10.0"/>
      <color rgb="FF223247"/>
      <name val="Arial"/>
    </font>
    <font>
      <b/>
      <sz val="10.0"/>
      <color rgb="FF1F3864"/>
      <name val="Arial"/>
    </font>
    <font>
      <b/>
      <sz val="11.0"/>
      <color rgb="FFFFFFFF"/>
      <name val="Arial"/>
    </font>
    <font/>
    <font>
      <i/>
      <sz val="10.0"/>
      <color rgb="FF63758B"/>
      <name val="Arial"/>
    </font>
    <font>
      <b/>
      <sz val="10.0"/>
      <color rgb="FF835B00"/>
      <name val="Arial"/>
    </font>
    <font>
      <i/>
      <sz val="10.0"/>
      <color rgb="FF835B00"/>
      <name val="Arial"/>
    </font>
  </fonts>
  <fills count="6">
    <fill>
      <patternFill patternType="none"/>
    </fill>
    <fill>
      <patternFill patternType="lightGray"/>
    </fill>
    <fill>
      <patternFill patternType="solid">
        <fgColor rgb="FF1F3864"/>
        <bgColor rgb="FF1F3864"/>
      </patternFill>
    </fill>
    <fill>
      <patternFill patternType="solid">
        <fgColor rgb="FFF5F8FC"/>
        <bgColor rgb="FFF5F8FC"/>
      </patternFill>
    </fill>
    <fill>
      <patternFill patternType="solid">
        <fgColor rgb="FFEAF0F8"/>
        <bgColor rgb="FFEAF0F8"/>
      </patternFill>
    </fill>
    <fill>
      <patternFill patternType="solid">
        <fgColor rgb="FFFFF3D6"/>
        <bgColor rgb="FFFFF3D6"/>
      </patternFill>
    </fill>
  </fills>
  <borders count="7">
    <border/>
    <border>
      <bottom style="thin">
        <color rgb="FFD8E1EC"/>
      </bottom>
    </border>
    <border>
      <left/>
      <right/>
      <top/>
      <bottom/>
    </border>
    <border>
      <left/>
      <top/>
      <bottom/>
    </border>
    <border>
      <top/>
      <bottom/>
    </border>
    <border>
      <right/>
      <top/>
      <bottom/>
    </border>
    <border>
      <left/>
      <right/>
      <top style="medium">
        <color rgb="FF9CB0CE"/>
      </top>
      <bottom/>
    </border>
  </borders>
  <cellStyleXfs count="1">
    <xf borderId="0" fillId="0" fontId="0" numFmtId="0" applyAlignment="1" applyFont="1"/>
  </cellStyleXfs>
  <cellXfs count="31">
    <xf borderId="0" fillId="0" fontId="0" numFmtId="0" xfId="0" applyAlignment="1" applyFont="1">
      <alignment readingOrder="0" shrinkToFit="0" vertical="bottom" wrapText="0"/>
    </xf>
    <xf borderId="0" fillId="0" fontId="1" numFmtId="0" xfId="0" applyAlignment="1" applyFont="1">
      <alignment vertical="center"/>
    </xf>
    <xf borderId="0" fillId="0" fontId="2" numFmtId="0" xfId="0" applyFont="1"/>
    <xf borderId="1" fillId="0" fontId="3" numFmtId="0" xfId="0" applyBorder="1" applyFont="1"/>
    <xf borderId="0" fillId="0" fontId="4" numFmtId="0" xfId="0" applyFont="1"/>
    <xf borderId="2" fillId="2" fontId="5" numFmtId="0" xfId="0" applyAlignment="1" applyBorder="1" applyFill="1" applyFont="1">
      <alignment horizontal="center" shrinkToFit="0" vertical="center" wrapText="1"/>
    </xf>
    <xf borderId="0" fillId="0" fontId="6" numFmtId="0" xfId="0" applyAlignment="1" applyFont="1">
      <alignment shrinkToFit="0" vertical="center" wrapText="1"/>
    </xf>
    <xf borderId="2" fillId="3" fontId="6" numFmtId="0" xfId="0" applyAlignment="1" applyBorder="1" applyFill="1" applyFont="1">
      <alignment shrinkToFit="0" vertical="center" wrapText="1"/>
    </xf>
    <xf borderId="0" fillId="0" fontId="7" numFmtId="0" xfId="0" applyAlignment="1" applyFont="1">
      <alignment shrinkToFit="0" vertical="center" wrapText="1"/>
    </xf>
    <xf borderId="0" fillId="0" fontId="6" numFmtId="0" xfId="0" applyAlignment="1" applyFont="1">
      <alignment horizontal="center" shrinkToFit="0" vertical="center" wrapText="1"/>
    </xf>
    <xf borderId="0" fillId="0" fontId="6" numFmtId="0" xfId="0" applyAlignment="1" applyFont="1">
      <alignment horizontal="center" readingOrder="0" shrinkToFit="0" vertical="center" wrapText="1"/>
    </xf>
    <xf borderId="0" fillId="0" fontId="6" numFmtId="164" xfId="0" applyAlignment="1" applyFont="1" applyNumberFormat="1">
      <alignment horizontal="center" shrinkToFit="0" vertical="center" wrapText="1"/>
    </xf>
    <xf borderId="2" fillId="4" fontId="4" numFmtId="0" xfId="0" applyAlignment="1" applyBorder="1" applyFill="1" applyFont="1">
      <alignment horizontal="center"/>
    </xf>
    <xf borderId="2" fillId="3" fontId="7" numFmtId="0" xfId="0" applyAlignment="1" applyBorder="1" applyFill="1" applyFont="1">
      <alignment shrinkToFit="0" vertical="center" wrapText="1"/>
    </xf>
    <xf borderId="3" fillId="2" fontId="8" numFmtId="0" xfId="0" applyBorder="1" applyFill="1" applyFont="1"/>
    <xf borderId="4" fillId="0" fontId="9" numFmtId="0" xfId="0" applyBorder="1" applyFont="1"/>
    <xf borderId="5" fillId="0" fontId="9" numFmtId="0" xfId="0" applyBorder="1" applyFont="1"/>
    <xf borderId="2" fillId="3" fontId="6" numFmtId="0" xfId="0" applyAlignment="1" applyBorder="1" applyFill="1" applyFont="1">
      <alignment horizontal="center" shrinkToFit="0" vertical="center" wrapText="1"/>
    </xf>
    <xf borderId="0" fillId="0" fontId="10" numFmtId="0" xfId="0" applyFont="1"/>
    <xf borderId="2" fillId="3" fontId="6" numFmtId="0" xfId="0" applyAlignment="1" applyBorder="1" applyFill="1" applyFont="1">
      <alignment horizontal="center" readingOrder="0" shrinkToFit="0" vertical="center" wrapText="1"/>
    </xf>
    <xf borderId="2" fillId="3" fontId="6" numFmtId="164" xfId="0" applyAlignment="1" applyBorder="1" applyFill="1" applyFont="1" applyNumberFormat="1">
      <alignment horizontal="center" shrinkToFit="0" vertical="center" wrapText="1"/>
    </xf>
    <xf borderId="0" fillId="0" fontId="6" numFmtId="3" xfId="0" applyAlignment="1" applyFont="1" applyNumberFormat="1">
      <alignment horizontal="center" shrinkToFit="0" vertical="center" wrapText="1"/>
    </xf>
    <xf borderId="2" fillId="3" fontId="6" numFmtId="3" xfId="0" applyAlignment="1" applyBorder="1" applyFill="1" applyFont="1" applyNumberFormat="1">
      <alignment horizontal="center" shrinkToFit="0" vertical="center" wrapText="1"/>
    </xf>
    <xf borderId="2" fillId="5" fontId="6" numFmtId="0" xfId="0" applyAlignment="1" applyBorder="1" applyFill="1" applyFont="1">
      <alignment shrinkToFit="0" vertical="center" wrapText="1"/>
    </xf>
    <xf borderId="3" fillId="5" fontId="6" numFmtId="0" xfId="0" applyAlignment="1" applyBorder="1" applyFill="1" applyFont="1">
      <alignment shrinkToFit="0" vertical="center" wrapText="1"/>
    </xf>
    <xf borderId="6" fillId="3" fontId="7" numFmtId="0" xfId="0" applyAlignment="1" applyBorder="1" applyFill="1" applyFont="1">
      <alignment shrinkToFit="0" vertical="center" wrapText="1"/>
    </xf>
    <xf borderId="6" fillId="3" fontId="6" numFmtId="0" xfId="0" applyAlignment="1" applyBorder="1" applyFill="1" applyFont="1">
      <alignment shrinkToFit="0" vertical="center" wrapText="1"/>
    </xf>
    <xf borderId="6" fillId="3" fontId="6" numFmtId="3" xfId="0" applyAlignment="1" applyBorder="1" applyFill="1" applyFont="1" applyNumberFormat="1">
      <alignment horizontal="center" shrinkToFit="0" vertical="center" wrapText="1"/>
    </xf>
    <xf borderId="6" fillId="3" fontId="6" numFmtId="0" xfId="0" applyAlignment="1" applyBorder="1" applyFill="1" applyFont="1">
      <alignment horizontal="center" shrinkToFit="0" vertical="center" wrapText="1"/>
    </xf>
    <xf borderId="2" fillId="5" fontId="11" numFmtId="0" xfId="0" applyAlignment="1" applyBorder="1" applyFill="1" applyFont="1">
      <alignment horizontal="center" shrinkToFit="0" vertical="center" wrapText="1"/>
    </xf>
    <xf borderId="3" fillId="5" fontId="12" numFmtId="0" xfId="0" applyBorder="1" applyFill="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F3864"/>
    <pageSetUpPr/>
  </sheetPr>
  <sheetViews>
    <sheetView showGridLines="0" workbookViewId="0">
      <pane ySplit="4.0" topLeftCell="A5" activePane="bottomLeft" state="frozen"/>
      <selection activeCell="B6" sqref="B6" pane="bottomLeft"/>
    </sheetView>
  </sheetViews>
  <sheetFormatPr customHeight="1" defaultColWidth="12.63" defaultRowHeight="15.0"/>
  <cols>
    <col customWidth="1" min="1" max="1" width="17.0"/>
    <col customWidth="1" min="2" max="2" width="74.0"/>
    <col customWidth="1" min="3" max="3" width="18.0"/>
    <col customWidth="1" min="4" max="4" width="35.0"/>
    <col customWidth="1" min="5" max="5" width="19.0"/>
    <col customWidth="1" min="6" max="6" width="34.0"/>
    <col customWidth="1" min="7" max="7" width="25.0"/>
    <col customWidth="1" min="8" max="8" width="29.0"/>
    <col customWidth="1" min="9" max="9" width="19.0"/>
    <col customWidth="1" min="10" max="10" width="24.0"/>
    <col customWidth="1" min="11" max="11" width="89.0"/>
    <col customWidth="1" min="12" max="26" width="8.63"/>
  </cols>
  <sheetData>
    <row r="1" ht="30.0" customHeight="1">
      <c r="A1" s="1" t="s">
        <v>2</v>
      </c>
    </row>
    <row r="2" ht="22.5" customHeight="1">
      <c r="A2" s="2" t="s">
        <v>5</v>
      </c>
    </row>
    <row r="3">
      <c r="A3" s="3"/>
      <c r="B3" s="3"/>
      <c r="C3" s="3"/>
      <c r="D3" s="3"/>
      <c r="E3" s="3"/>
      <c r="F3" s="3"/>
      <c r="G3" s="3"/>
      <c r="H3" s="3"/>
      <c r="I3" s="3"/>
      <c r="J3" s="3"/>
      <c r="K3" s="3"/>
    </row>
    <row r="4" ht="48.0" customHeight="1">
      <c r="A4" s="5" t="s">
        <v>9</v>
      </c>
      <c r="B4" s="5" t="s">
        <v>12</v>
      </c>
      <c r="C4" s="5" t="s">
        <v>13</v>
      </c>
      <c r="D4" s="5" t="s">
        <v>14</v>
      </c>
      <c r="E4" s="5" t="s">
        <v>16</v>
      </c>
      <c r="F4" s="5" t="s">
        <v>18</v>
      </c>
      <c r="G4" s="5" t="s">
        <v>20</v>
      </c>
      <c r="H4" s="5" t="s">
        <v>22</v>
      </c>
      <c r="I4" s="5" t="s">
        <v>23</v>
      </c>
      <c r="J4" s="5" t="s">
        <v>24</v>
      </c>
      <c r="K4" s="5" t="s">
        <v>26</v>
      </c>
    </row>
    <row r="5" ht="79.5" customHeight="1">
      <c r="A5" s="8" t="s">
        <v>27</v>
      </c>
      <c r="B5" s="6" t="s">
        <v>31</v>
      </c>
      <c r="C5" s="6" t="s">
        <v>33</v>
      </c>
      <c r="D5" s="6" t="s">
        <v>35</v>
      </c>
      <c r="E5" s="9" t="s">
        <v>38</v>
      </c>
      <c r="F5" s="6" t="s">
        <v>41</v>
      </c>
      <c r="G5" s="10" t="s">
        <v>43</v>
      </c>
      <c r="H5" s="9" t="s">
        <v>47</v>
      </c>
      <c r="I5" s="11"/>
      <c r="J5" s="9" t="s">
        <v>51</v>
      </c>
      <c r="K5" s="6" t="s">
        <v>54</v>
      </c>
    </row>
    <row r="6" ht="79.5" customHeight="1">
      <c r="A6" s="13" t="s">
        <v>58</v>
      </c>
      <c r="B6" s="7" t="s">
        <v>64</v>
      </c>
      <c r="C6" s="7" t="s">
        <v>33</v>
      </c>
      <c r="D6" s="7" t="s">
        <v>35</v>
      </c>
      <c r="E6" s="17" t="s">
        <v>38</v>
      </c>
      <c r="F6" s="7" t="s">
        <v>75</v>
      </c>
      <c r="G6" s="19" t="s">
        <v>43</v>
      </c>
      <c r="H6" s="17" t="s">
        <v>47</v>
      </c>
      <c r="I6" s="20"/>
      <c r="J6" s="17" t="s">
        <v>89</v>
      </c>
      <c r="K6" s="7" t="s">
        <v>92</v>
      </c>
    </row>
    <row r="7" ht="79.5" customHeight="1">
      <c r="A7" s="8" t="s">
        <v>96</v>
      </c>
      <c r="B7" s="6" t="s">
        <v>99</v>
      </c>
      <c r="C7" s="6" t="s">
        <v>33</v>
      </c>
      <c r="D7" s="6" t="s">
        <v>103</v>
      </c>
      <c r="E7" s="9" t="s">
        <v>38</v>
      </c>
      <c r="F7" s="6" t="s">
        <v>106</v>
      </c>
      <c r="G7" s="10" t="s">
        <v>43</v>
      </c>
      <c r="H7" s="9" t="s">
        <v>47</v>
      </c>
      <c r="I7" s="11"/>
      <c r="J7" s="9" t="s">
        <v>109</v>
      </c>
      <c r="K7" s="6" t="s">
        <v>112</v>
      </c>
    </row>
    <row r="8" ht="79.5" customHeight="1">
      <c r="A8" s="13" t="s">
        <v>115</v>
      </c>
      <c r="B8" s="7" t="s">
        <v>118</v>
      </c>
      <c r="C8" s="7" t="s">
        <v>33</v>
      </c>
      <c r="D8" s="7" t="s">
        <v>103</v>
      </c>
      <c r="E8" s="17" t="s">
        <v>38</v>
      </c>
      <c r="F8" s="7" t="s">
        <v>106</v>
      </c>
      <c r="G8" s="19" t="s">
        <v>43</v>
      </c>
      <c r="H8" s="17" t="s">
        <v>47</v>
      </c>
      <c r="I8" s="20"/>
      <c r="J8" s="17" t="s">
        <v>109</v>
      </c>
      <c r="K8" s="7" t="s">
        <v>123</v>
      </c>
    </row>
    <row r="9" ht="79.5" customHeight="1">
      <c r="A9" s="8" t="s">
        <v>124</v>
      </c>
      <c r="B9" s="6" t="s">
        <v>127</v>
      </c>
      <c r="C9" s="6" t="s">
        <v>33</v>
      </c>
      <c r="D9" s="6" t="s">
        <v>103</v>
      </c>
      <c r="E9" s="9" t="s">
        <v>38</v>
      </c>
      <c r="F9" s="6" t="s">
        <v>131</v>
      </c>
      <c r="G9" s="9" t="s">
        <v>132</v>
      </c>
      <c r="H9" s="9" t="s">
        <v>133</v>
      </c>
      <c r="I9" s="11"/>
      <c r="J9" s="9" t="s">
        <v>135</v>
      </c>
      <c r="K9" s="6" t="s">
        <v>136</v>
      </c>
    </row>
    <row r="10" ht="79.5" customHeight="1">
      <c r="A10" s="13" t="s">
        <v>137</v>
      </c>
      <c r="B10" s="7" t="s">
        <v>139</v>
      </c>
      <c r="C10" s="7" t="s">
        <v>33</v>
      </c>
      <c r="D10" s="7" t="s">
        <v>103</v>
      </c>
      <c r="E10" s="17" t="s">
        <v>38</v>
      </c>
      <c r="F10" s="7" t="s">
        <v>41</v>
      </c>
      <c r="G10" s="19" t="s">
        <v>43</v>
      </c>
      <c r="H10" s="17" t="s">
        <v>47</v>
      </c>
      <c r="I10" s="20"/>
      <c r="J10" s="17" t="s">
        <v>51</v>
      </c>
      <c r="K10" s="7" t="s">
        <v>147</v>
      </c>
    </row>
    <row r="11" ht="79.5" customHeight="1">
      <c r="A11" s="8" t="s">
        <v>149</v>
      </c>
      <c r="B11" s="6" t="s">
        <v>150</v>
      </c>
      <c r="C11" s="6" t="s">
        <v>33</v>
      </c>
      <c r="D11" s="6" t="s">
        <v>154</v>
      </c>
      <c r="E11" s="9" t="s">
        <v>38</v>
      </c>
      <c r="F11" s="6" t="s">
        <v>155</v>
      </c>
      <c r="G11" s="9" t="s">
        <v>132</v>
      </c>
      <c r="H11" s="9" t="s">
        <v>133</v>
      </c>
      <c r="I11" s="11"/>
      <c r="J11" s="9" t="s">
        <v>135</v>
      </c>
      <c r="K11" s="6" t="s">
        <v>159</v>
      </c>
    </row>
    <row r="12" ht="79.5" customHeight="1">
      <c r="A12" s="13" t="s">
        <v>161</v>
      </c>
      <c r="B12" s="7" t="s">
        <v>162</v>
      </c>
      <c r="C12" s="7" t="s">
        <v>33</v>
      </c>
      <c r="D12" s="7" t="s">
        <v>154</v>
      </c>
      <c r="E12" s="17" t="s">
        <v>38</v>
      </c>
      <c r="F12" s="7" t="s">
        <v>155</v>
      </c>
      <c r="G12" s="17" t="s">
        <v>132</v>
      </c>
      <c r="H12" s="17" t="s">
        <v>133</v>
      </c>
      <c r="I12" s="20"/>
      <c r="J12" s="17" t="s">
        <v>135</v>
      </c>
      <c r="K12" s="7" t="s">
        <v>168</v>
      </c>
    </row>
    <row r="13" ht="79.5" customHeight="1">
      <c r="A13" s="8" t="s">
        <v>170</v>
      </c>
      <c r="B13" s="6" t="s">
        <v>172</v>
      </c>
      <c r="C13" s="6" t="s">
        <v>33</v>
      </c>
      <c r="D13" s="6" t="s">
        <v>154</v>
      </c>
      <c r="E13" s="9" t="s">
        <v>175</v>
      </c>
      <c r="F13" s="6" t="s">
        <v>176</v>
      </c>
      <c r="G13" s="9" t="s">
        <v>177</v>
      </c>
      <c r="H13" s="9" t="s">
        <v>178</v>
      </c>
      <c r="I13" s="11"/>
      <c r="J13" s="9" t="s">
        <v>135</v>
      </c>
      <c r="K13" s="6" t="s">
        <v>179</v>
      </c>
    </row>
    <row r="14" ht="79.5" customHeight="1">
      <c r="A14" s="13" t="s">
        <v>181</v>
      </c>
      <c r="B14" s="7" t="s">
        <v>183</v>
      </c>
      <c r="C14" s="7" t="s">
        <v>33</v>
      </c>
      <c r="D14" s="7" t="s">
        <v>185</v>
      </c>
      <c r="E14" s="17" t="s">
        <v>38</v>
      </c>
      <c r="F14" s="7" t="s">
        <v>186</v>
      </c>
      <c r="G14" s="17" t="s">
        <v>187</v>
      </c>
      <c r="H14" s="17" t="s">
        <v>188</v>
      </c>
      <c r="I14" s="20"/>
      <c r="J14" s="17" t="s">
        <v>135</v>
      </c>
      <c r="K14" s="7" t="s">
        <v>189</v>
      </c>
    </row>
    <row r="15" ht="79.5" customHeight="1">
      <c r="A15" s="8" t="s">
        <v>191</v>
      </c>
      <c r="B15" s="6" t="s">
        <v>194</v>
      </c>
      <c r="C15" s="6" t="s">
        <v>33</v>
      </c>
      <c r="D15" s="6" t="s">
        <v>185</v>
      </c>
      <c r="E15" s="9" t="s">
        <v>175</v>
      </c>
      <c r="F15" s="6" t="s">
        <v>186</v>
      </c>
      <c r="G15" s="9" t="s">
        <v>187</v>
      </c>
      <c r="H15" s="9" t="s">
        <v>188</v>
      </c>
      <c r="I15" s="11"/>
      <c r="J15" s="9" t="s">
        <v>135</v>
      </c>
      <c r="K15" s="6" t="s">
        <v>198</v>
      </c>
    </row>
    <row r="16" ht="79.5" customHeight="1">
      <c r="A16" s="13" t="s">
        <v>200</v>
      </c>
      <c r="B16" s="7" t="s">
        <v>202</v>
      </c>
      <c r="C16" s="7" t="s">
        <v>33</v>
      </c>
      <c r="D16" s="7" t="s">
        <v>185</v>
      </c>
      <c r="E16" s="17" t="s">
        <v>38</v>
      </c>
      <c r="F16" s="7" t="s">
        <v>155</v>
      </c>
      <c r="G16" s="17" t="s">
        <v>132</v>
      </c>
      <c r="H16" s="17" t="s">
        <v>133</v>
      </c>
      <c r="I16" s="20"/>
      <c r="J16" s="17" t="s">
        <v>135</v>
      </c>
      <c r="K16" s="7" t="s">
        <v>206</v>
      </c>
    </row>
    <row r="17" ht="79.5" customHeight="1">
      <c r="A17" s="8" t="s">
        <v>208</v>
      </c>
      <c r="B17" s="6" t="s">
        <v>210</v>
      </c>
      <c r="C17" s="6" t="s">
        <v>33</v>
      </c>
      <c r="D17" s="6" t="s">
        <v>185</v>
      </c>
      <c r="E17" s="9" t="s">
        <v>38</v>
      </c>
      <c r="F17" s="6" t="s">
        <v>213</v>
      </c>
      <c r="G17" s="9" t="s">
        <v>43</v>
      </c>
      <c r="H17" s="9" t="s">
        <v>214</v>
      </c>
      <c r="I17" s="11"/>
      <c r="J17" s="9" t="s">
        <v>216</v>
      </c>
      <c r="K17" s="6" t="s">
        <v>218</v>
      </c>
    </row>
    <row r="18" ht="79.5" customHeight="1">
      <c r="A18" s="13" t="s">
        <v>220</v>
      </c>
      <c r="B18" s="7" t="s">
        <v>221</v>
      </c>
      <c r="C18" s="7" t="s">
        <v>33</v>
      </c>
      <c r="D18" s="7" t="s">
        <v>222</v>
      </c>
      <c r="E18" s="17" t="s">
        <v>224</v>
      </c>
      <c r="F18" s="7" t="s">
        <v>213</v>
      </c>
      <c r="G18" s="17" t="s">
        <v>43</v>
      </c>
      <c r="H18" s="17" t="s">
        <v>214</v>
      </c>
      <c r="I18" s="20"/>
      <c r="J18" s="17" t="s">
        <v>216</v>
      </c>
      <c r="K18" s="7" t="s">
        <v>226</v>
      </c>
    </row>
    <row r="19" ht="79.5" customHeight="1">
      <c r="A19" s="8" t="s">
        <v>227</v>
      </c>
      <c r="B19" s="6" t="s">
        <v>228</v>
      </c>
      <c r="C19" s="6" t="s">
        <v>33</v>
      </c>
      <c r="D19" s="6" t="s">
        <v>222</v>
      </c>
      <c r="E19" s="9" t="s">
        <v>38</v>
      </c>
      <c r="F19" s="6" t="s">
        <v>229</v>
      </c>
      <c r="G19" s="9" t="s">
        <v>43</v>
      </c>
      <c r="H19" s="9" t="s">
        <v>214</v>
      </c>
      <c r="I19" s="11"/>
      <c r="J19" s="9" t="s">
        <v>231</v>
      </c>
      <c r="K19" s="6" t="s">
        <v>232</v>
      </c>
    </row>
    <row r="20" ht="79.5" customHeight="1">
      <c r="A20" s="13" t="s">
        <v>233</v>
      </c>
      <c r="B20" s="7" t="s">
        <v>234</v>
      </c>
      <c r="C20" s="7" t="s">
        <v>33</v>
      </c>
      <c r="D20" s="7" t="s">
        <v>222</v>
      </c>
      <c r="E20" s="17" t="s">
        <v>38</v>
      </c>
      <c r="F20" s="7" t="s">
        <v>235</v>
      </c>
      <c r="G20" s="17" t="s">
        <v>43</v>
      </c>
      <c r="H20" s="17" t="s">
        <v>214</v>
      </c>
      <c r="I20" s="20"/>
      <c r="J20" s="17" t="s">
        <v>216</v>
      </c>
      <c r="K20" s="7" t="s">
        <v>236</v>
      </c>
    </row>
    <row r="21" ht="79.5" customHeight="1">
      <c r="A21" s="8" t="s">
        <v>239</v>
      </c>
      <c r="B21" s="6" t="s">
        <v>242</v>
      </c>
      <c r="C21" s="6" t="s">
        <v>33</v>
      </c>
      <c r="D21" s="6" t="s">
        <v>244</v>
      </c>
      <c r="E21" s="9" t="s">
        <v>38</v>
      </c>
      <c r="F21" s="6" t="s">
        <v>245</v>
      </c>
      <c r="G21" s="9" t="s">
        <v>43</v>
      </c>
      <c r="H21" s="9" t="s">
        <v>214</v>
      </c>
      <c r="I21" s="11"/>
      <c r="J21" s="9" t="s">
        <v>247</v>
      </c>
      <c r="K21" s="6" t="s">
        <v>248</v>
      </c>
    </row>
    <row r="22" ht="79.5" customHeight="1">
      <c r="A22" s="13" t="s">
        <v>249</v>
      </c>
      <c r="B22" s="7" t="s">
        <v>250</v>
      </c>
      <c r="C22" s="7" t="s">
        <v>33</v>
      </c>
      <c r="D22" s="7" t="s">
        <v>244</v>
      </c>
      <c r="E22" s="17" t="s">
        <v>224</v>
      </c>
      <c r="F22" s="7" t="s">
        <v>41</v>
      </c>
      <c r="G22" s="19" t="s">
        <v>43</v>
      </c>
      <c r="H22" s="17" t="s">
        <v>47</v>
      </c>
      <c r="I22" s="20"/>
      <c r="J22" s="17" t="s">
        <v>51</v>
      </c>
      <c r="K22" s="7" t="s">
        <v>255</v>
      </c>
    </row>
    <row r="23" ht="79.5" customHeight="1">
      <c r="A23" s="8" t="s">
        <v>257</v>
      </c>
      <c r="B23" s="6" t="s">
        <v>258</v>
      </c>
      <c r="C23" s="6" t="s">
        <v>33</v>
      </c>
      <c r="D23" s="6" t="s">
        <v>244</v>
      </c>
      <c r="E23" s="9" t="s">
        <v>224</v>
      </c>
      <c r="F23" s="6" t="s">
        <v>260</v>
      </c>
      <c r="G23" s="9" t="s">
        <v>43</v>
      </c>
      <c r="H23" s="9" t="s">
        <v>214</v>
      </c>
      <c r="I23" s="11"/>
      <c r="J23" s="9" t="s">
        <v>231</v>
      </c>
      <c r="K23" s="6" t="s">
        <v>263</v>
      </c>
    </row>
    <row r="24" ht="79.5" customHeight="1">
      <c r="A24" s="13" t="s">
        <v>264</v>
      </c>
      <c r="B24" s="7" t="s">
        <v>266</v>
      </c>
      <c r="C24" s="7" t="s">
        <v>33</v>
      </c>
      <c r="D24" s="7" t="s">
        <v>244</v>
      </c>
      <c r="E24" s="17" t="s">
        <v>224</v>
      </c>
      <c r="F24" s="7" t="s">
        <v>235</v>
      </c>
      <c r="G24" s="17" t="s">
        <v>43</v>
      </c>
      <c r="H24" s="17" t="s">
        <v>214</v>
      </c>
      <c r="I24" s="20"/>
      <c r="J24" s="17" t="s">
        <v>216</v>
      </c>
      <c r="K24" s="7" t="s">
        <v>267</v>
      </c>
    </row>
    <row r="25" ht="79.5" customHeight="1">
      <c r="A25" s="8" t="s">
        <v>270</v>
      </c>
      <c r="B25" s="6" t="s">
        <v>271</v>
      </c>
      <c r="C25" s="6" t="s">
        <v>33</v>
      </c>
      <c r="D25" s="6" t="s">
        <v>273</v>
      </c>
      <c r="E25" s="9" t="s">
        <v>38</v>
      </c>
      <c r="F25" s="6" t="s">
        <v>102</v>
      </c>
      <c r="G25" s="9" t="s">
        <v>43</v>
      </c>
      <c r="H25" s="9" t="s">
        <v>214</v>
      </c>
      <c r="I25" s="11"/>
      <c r="J25" s="9" t="s">
        <v>276</v>
      </c>
      <c r="K25" s="6" t="s">
        <v>277</v>
      </c>
    </row>
    <row r="26" ht="79.5" customHeight="1">
      <c r="A26" s="13" t="s">
        <v>280</v>
      </c>
      <c r="B26" s="7" t="s">
        <v>281</v>
      </c>
      <c r="C26" s="7" t="s">
        <v>33</v>
      </c>
      <c r="D26" s="7" t="s">
        <v>273</v>
      </c>
      <c r="E26" s="17" t="s">
        <v>38</v>
      </c>
      <c r="F26" s="7" t="s">
        <v>102</v>
      </c>
      <c r="G26" s="17" t="s">
        <v>43</v>
      </c>
      <c r="H26" s="17" t="s">
        <v>214</v>
      </c>
      <c r="I26" s="20"/>
      <c r="J26" s="17" t="s">
        <v>276</v>
      </c>
      <c r="K26" s="7" t="s">
        <v>284</v>
      </c>
    </row>
    <row r="27" ht="79.5" customHeight="1">
      <c r="A27" s="8" t="s">
        <v>285</v>
      </c>
      <c r="B27" s="6" t="s">
        <v>286</v>
      </c>
      <c r="C27" s="6" t="s">
        <v>33</v>
      </c>
      <c r="D27" s="6" t="s">
        <v>273</v>
      </c>
      <c r="E27" s="9" t="s">
        <v>38</v>
      </c>
      <c r="F27" s="6" t="s">
        <v>102</v>
      </c>
      <c r="G27" s="9" t="s">
        <v>43</v>
      </c>
      <c r="H27" s="9" t="s">
        <v>214</v>
      </c>
      <c r="I27" s="11"/>
      <c r="J27" s="9" t="s">
        <v>276</v>
      </c>
      <c r="K27" s="6" t="s">
        <v>288</v>
      </c>
    </row>
    <row r="28" ht="79.5" customHeight="1">
      <c r="A28" s="13" t="s">
        <v>289</v>
      </c>
      <c r="B28" s="7" t="s">
        <v>291</v>
      </c>
      <c r="C28" s="7" t="s">
        <v>33</v>
      </c>
      <c r="D28" s="7" t="s">
        <v>273</v>
      </c>
      <c r="E28" s="17" t="s">
        <v>38</v>
      </c>
      <c r="F28" s="7" t="s">
        <v>102</v>
      </c>
      <c r="G28" s="17" t="s">
        <v>43</v>
      </c>
      <c r="H28" s="17" t="s">
        <v>214</v>
      </c>
      <c r="I28" s="20"/>
      <c r="J28" s="17" t="s">
        <v>276</v>
      </c>
      <c r="K28" s="7" t="s">
        <v>295</v>
      </c>
    </row>
    <row r="29" ht="79.5" customHeight="1">
      <c r="A29" s="8" t="s">
        <v>296</v>
      </c>
      <c r="B29" s="6" t="s">
        <v>297</v>
      </c>
      <c r="C29" s="6" t="s">
        <v>33</v>
      </c>
      <c r="D29" s="6" t="s">
        <v>298</v>
      </c>
      <c r="E29" s="9" t="s">
        <v>38</v>
      </c>
      <c r="F29" s="6" t="s">
        <v>140</v>
      </c>
      <c r="G29" s="9" t="s">
        <v>43</v>
      </c>
      <c r="H29" s="9" t="s">
        <v>214</v>
      </c>
      <c r="I29" s="11"/>
      <c r="J29" s="9" t="s">
        <v>301</v>
      </c>
      <c r="K29" s="6" t="s">
        <v>302</v>
      </c>
    </row>
    <row r="30" ht="79.5" customHeight="1">
      <c r="A30" s="13" t="s">
        <v>304</v>
      </c>
      <c r="B30" s="7" t="s">
        <v>305</v>
      </c>
      <c r="C30" s="7" t="s">
        <v>33</v>
      </c>
      <c r="D30" s="7" t="s">
        <v>298</v>
      </c>
      <c r="E30" s="17" t="s">
        <v>38</v>
      </c>
      <c r="F30" s="7" t="s">
        <v>306</v>
      </c>
      <c r="G30" s="17" t="s">
        <v>307</v>
      </c>
      <c r="H30" s="17" t="s">
        <v>308</v>
      </c>
      <c r="I30" s="20"/>
      <c r="J30" s="17" t="s">
        <v>247</v>
      </c>
      <c r="K30" s="7" t="s">
        <v>309</v>
      </c>
    </row>
    <row r="31" ht="79.5" customHeight="1">
      <c r="A31" s="8" t="s">
        <v>311</v>
      </c>
      <c r="B31" s="6" t="s">
        <v>312</v>
      </c>
      <c r="C31" s="6" t="s">
        <v>33</v>
      </c>
      <c r="D31" s="6" t="s">
        <v>298</v>
      </c>
      <c r="E31" s="9" t="s">
        <v>38</v>
      </c>
      <c r="F31" s="6" t="s">
        <v>315</v>
      </c>
      <c r="G31" s="9" t="s">
        <v>307</v>
      </c>
      <c r="H31" s="9" t="s">
        <v>308</v>
      </c>
      <c r="I31" s="11"/>
      <c r="J31" s="9" t="s">
        <v>301</v>
      </c>
      <c r="K31" s="6" t="s">
        <v>317</v>
      </c>
    </row>
    <row r="32" ht="79.5" customHeight="1">
      <c r="A32" s="13" t="s">
        <v>318</v>
      </c>
      <c r="B32" s="7" t="s">
        <v>319</v>
      </c>
      <c r="C32" s="7" t="s">
        <v>33</v>
      </c>
      <c r="D32" s="7" t="s">
        <v>298</v>
      </c>
      <c r="E32" s="17" t="s">
        <v>38</v>
      </c>
      <c r="F32" s="7" t="s">
        <v>306</v>
      </c>
      <c r="G32" s="17" t="s">
        <v>307</v>
      </c>
      <c r="H32" s="29" t="s">
        <v>323</v>
      </c>
      <c r="I32" s="20"/>
      <c r="J32" s="17" t="s">
        <v>247</v>
      </c>
      <c r="K32" s="7" t="s">
        <v>326</v>
      </c>
    </row>
    <row r="33" ht="79.5" customHeight="1">
      <c r="A33" s="8" t="s">
        <v>327</v>
      </c>
      <c r="B33" s="6" t="s">
        <v>328</v>
      </c>
      <c r="C33" s="6" t="s">
        <v>33</v>
      </c>
      <c r="D33" s="6" t="s">
        <v>330</v>
      </c>
      <c r="E33" s="9" t="s">
        <v>38</v>
      </c>
      <c r="F33" s="6" t="s">
        <v>331</v>
      </c>
      <c r="G33" s="9" t="s">
        <v>187</v>
      </c>
      <c r="H33" s="9" t="s">
        <v>188</v>
      </c>
      <c r="I33" s="11"/>
      <c r="J33" s="9" t="s">
        <v>135</v>
      </c>
      <c r="K33" s="6" t="s">
        <v>334</v>
      </c>
    </row>
    <row r="34" ht="79.5" customHeight="1">
      <c r="A34" s="13" t="s">
        <v>335</v>
      </c>
      <c r="B34" s="7" t="s">
        <v>336</v>
      </c>
      <c r="C34" s="7" t="s">
        <v>33</v>
      </c>
      <c r="D34" s="7" t="s">
        <v>330</v>
      </c>
      <c r="E34" s="17" t="s">
        <v>38</v>
      </c>
      <c r="F34" s="7" t="s">
        <v>140</v>
      </c>
      <c r="G34" s="17" t="s">
        <v>43</v>
      </c>
      <c r="H34" s="17" t="s">
        <v>214</v>
      </c>
      <c r="I34" s="20"/>
      <c r="J34" s="17" t="s">
        <v>301</v>
      </c>
      <c r="K34" s="7" t="s">
        <v>340</v>
      </c>
    </row>
    <row r="35" ht="79.5" customHeight="1">
      <c r="A35" s="8" t="s">
        <v>341</v>
      </c>
      <c r="B35" s="6" t="s">
        <v>342</v>
      </c>
      <c r="C35" s="6" t="s">
        <v>33</v>
      </c>
      <c r="D35" s="6" t="s">
        <v>330</v>
      </c>
      <c r="E35" s="9" t="s">
        <v>38</v>
      </c>
      <c r="F35" s="6" t="s">
        <v>140</v>
      </c>
      <c r="G35" s="9" t="s">
        <v>43</v>
      </c>
      <c r="H35" s="9" t="s">
        <v>214</v>
      </c>
      <c r="I35" s="11"/>
      <c r="J35" s="9" t="s">
        <v>301</v>
      </c>
      <c r="K35" s="6" t="s">
        <v>346</v>
      </c>
    </row>
    <row r="36" ht="79.5" customHeight="1">
      <c r="A36" s="13" t="s">
        <v>347</v>
      </c>
      <c r="B36" s="7" t="s">
        <v>348</v>
      </c>
      <c r="C36" s="7" t="s">
        <v>33</v>
      </c>
      <c r="D36" s="7" t="s">
        <v>330</v>
      </c>
      <c r="E36" s="17" t="s">
        <v>38</v>
      </c>
      <c r="F36" s="7" t="s">
        <v>119</v>
      </c>
      <c r="G36" s="17" t="s">
        <v>43</v>
      </c>
      <c r="H36" s="17" t="s">
        <v>214</v>
      </c>
      <c r="I36" s="20"/>
      <c r="J36" s="17" t="s">
        <v>310</v>
      </c>
      <c r="K36" s="7" t="s">
        <v>354</v>
      </c>
    </row>
    <row r="37" ht="79.5" customHeight="1">
      <c r="A37" s="8" t="s">
        <v>356</v>
      </c>
      <c r="B37" s="6" t="s">
        <v>357</v>
      </c>
      <c r="C37" s="6" t="s">
        <v>33</v>
      </c>
      <c r="D37" s="6" t="s">
        <v>359</v>
      </c>
      <c r="E37" s="9" t="s">
        <v>38</v>
      </c>
      <c r="F37" s="6" t="s">
        <v>119</v>
      </c>
      <c r="G37" s="9" t="s">
        <v>43</v>
      </c>
      <c r="H37" s="9" t="s">
        <v>214</v>
      </c>
      <c r="I37" s="11"/>
      <c r="J37" s="9" t="s">
        <v>310</v>
      </c>
      <c r="K37" s="6" t="s">
        <v>364</v>
      </c>
    </row>
    <row r="38" ht="79.5" customHeight="1">
      <c r="A38" s="13" t="s">
        <v>366</v>
      </c>
      <c r="B38" s="7" t="s">
        <v>367</v>
      </c>
      <c r="C38" s="7" t="s">
        <v>33</v>
      </c>
      <c r="D38" s="7" t="s">
        <v>359</v>
      </c>
      <c r="E38" s="17" t="s">
        <v>38</v>
      </c>
      <c r="F38" s="7" t="s">
        <v>370</v>
      </c>
      <c r="G38" s="17" t="s">
        <v>187</v>
      </c>
      <c r="H38" s="17" t="s">
        <v>188</v>
      </c>
      <c r="I38" s="20"/>
      <c r="J38" s="17" t="s">
        <v>135</v>
      </c>
      <c r="K38" s="7" t="s">
        <v>374</v>
      </c>
    </row>
    <row r="39" ht="79.5" customHeight="1">
      <c r="A39" s="8" t="s">
        <v>376</v>
      </c>
      <c r="B39" s="6" t="s">
        <v>378</v>
      </c>
      <c r="C39" s="6" t="s">
        <v>33</v>
      </c>
      <c r="D39" s="6" t="s">
        <v>359</v>
      </c>
      <c r="E39" s="9" t="s">
        <v>38</v>
      </c>
      <c r="F39" s="6" t="s">
        <v>370</v>
      </c>
      <c r="G39" s="9" t="s">
        <v>187</v>
      </c>
      <c r="H39" s="9" t="s">
        <v>188</v>
      </c>
      <c r="I39" s="11"/>
      <c r="J39" s="9" t="s">
        <v>135</v>
      </c>
      <c r="K39" s="6" t="s">
        <v>384</v>
      </c>
    </row>
    <row r="40" ht="79.5" customHeight="1">
      <c r="A40" s="13" t="s">
        <v>385</v>
      </c>
      <c r="B40" s="7" t="s">
        <v>386</v>
      </c>
      <c r="C40" s="7" t="s">
        <v>33</v>
      </c>
      <c r="D40" s="7" t="s">
        <v>387</v>
      </c>
      <c r="E40" s="17" t="s">
        <v>38</v>
      </c>
      <c r="F40" s="7" t="s">
        <v>370</v>
      </c>
      <c r="G40" s="17" t="s">
        <v>187</v>
      </c>
      <c r="H40" s="17" t="s">
        <v>188</v>
      </c>
      <c r="I40" s="20"/>
      <c r="J40" s="17" t="s">
        <v>135</v>
      </c>
      <c r="K40" s="7" t="s">
        <v>388</v>
      </c>
    </row>
    <row r="41" ht="79.5" customHeight="1">
      <c r="A41" s="8" t="s">
        <v>389</v>
      </c>
      <c r="B41" s="6" t="s">
        <v>390</v>
      </c>
      <c r="C41" s="6" t="s">
        <v>33</v>
      </c>
      <c r="D41" s="6" t="s">
        <v>387</v>
      </c>
      <c r="E41" s="9" t="s">
        <v>175</v>
      </c>
      <c r="F41" s="6" t="s">
        <v>391</v>
      </c>
      <c r="G41" s="9" t="s">
        <v>187</v>
      </c>
      <c r="H41" s="9" t="s">
        <v>188</v>
      </c>
      <c r="I41" s="11"/>
      <c r="J41" s="9" t="s">
        <v>135</v>
      </c>
      <c r="K41" s="6" t="s">
        <v>392</v>
      </c>
    </row>
    <row r="42" ht="79.5" customHeight="1">
      <c r="A42" s="13" t="s">
        <v>393</v>
      </c>
      <c r="B42" s="7" t="s">
        <v>394</v>
      </c>
      <c r="C42" s="7" t="s">
        <v>33</v>
      </c>
      <c r="D42" s="7" t="s">
        <v>387</v>
      </c>
      <c r="E42" s="17" t="s">
        <v>38</v>
      </c>
      <c r="F42" s="7" t="s">
        <v>119</v>
      </c>
      <c r="G42" s="17" t="s">
        <v>43</v>
      </c>
      <c r="H42" s="17" t="s">
        <v>214</v>
      </c>
      <c r="I42" s="20"/>
      <c r="J42" s="17" t="s">
        <v>310</v>
      </c>
      <c r="K42" s="7" t="s">
        <v>395</v>
      </c>
    </row>
    <row r="43" ht="79.5" customHeight="1">
      <c r="A43" s="8" t="s">
        <v>396</v>
      </c>
      <c r="B43" s="6" t="s">
        <v>397</v>
      </c>
      <c r="C43" s="6" t="s">
        <v>33</v>
      </c>
      <c r="D43" s="6" t="s">
        <v>387</v>
      </c>
      <c r="E43" s="9" t="s">
        <v>38</v>
      </c>
      <c r="F43" s="6" t="s">
        <v>140</v>
      </c>
      <c r="G43" s="9" t="s">
        <v>43</v>
      </c>
      <c r="H43" s="9" t="s">
        <v>214</v>
      </c>
      <c r="I43" s="11"/>
      <c r="J43" s="9" t="s">
        <v>301</v>
      </c>
      <c r="K43" s="6" t="s">
        <v>398</v>
      </c>
    </row>
    <row r="44" ht="79.5" customHeight="1">
      <c r="A44" s="13" t="s">
        <v>399</v>
      </c>
      <c r="B44" s="7" t="s">
        <v>400</v>
      </c>
      <c r="C44" s="7" t="s">
        <v>33</v>
      </c>
      <c r="D44" s="7" t="s">
        <v>401</v>
      </c>
      <c r="E44" s="17" t="s">
        <v>38</v>
      </c>
      <c r="F44" s="7" t="s">
        <v>140</v>
      </c>
      <c r="G44" s="17" t="s">
        <v>43</v>
      </c>
      <c r="H44" s="17" t="s">
        <v>214</v>
      </c>
      <c r="I44" s="20"/>
      <c r="J44" s="17" t="s">
        <v>301</v>
      </c>
      <c r="K44" s="7" t="s">
        <v>402</v>
      </c>
    </row>
    <row r="45" ht="79.5" customHeight="1">
      <c r="A45" s="8" t="s">
        <v>403</v>
      </c>
      <c r="B45" s="6" t="s">
        <v>404</v>
      </c>
      <c r="C45" s="6" t="s">
        <v>33</v>
      </c>
      <c r="D45" s="6" t="s">
        <v>401</v>
      </c>
      <c r="E45" s="9" t="s">
        <v>38</v>
      </c>
      <c r="F45" s="6" t="s">
        <v>140</v>
      </c>
      <c r="G45" s="9" t="s">
        <v>43</v>
      </c>
      <c r="H45" s="9" t="s">
        <v>214</v>
      </c>
      <c r="I45" s="11"/>
      <c r="J45" s="9" t="s">
        <v>301</v>
      </c>
      <c r="K45" s="6" t="s">
        <v>405</v>
      </c>
    </row>
    <row r="46" ht="79.5" customHeight="1">
      <c r="A46" s="13" t="s">
        <v>406</v>
      </c>
      <c r="B46" s="7" t="s">
        <v>407</v>
      </c>
      <c r="C46" s="7" t="s">
        <v>33</v>
      </c>
      <c r="D46" s="7" t="s">
        <v>401</v>
      </c>
      <c r="E46" s="17" t="s">
        <v>175</v>
      </c>
      <c r="F46" s="7" t="s">
        <v>408</v>
      </c>
      <c r="G46" s="17" t="s">
        <v>409</v>
      </c>
      <c r="H46" s="17" t="s">
        <v>178</v>
      </c>
      <c r="I46" s="20"/>
      <c r="J46" s="17" t="s">
        <v>135</v>
      </c>
      <c r="K46" s="7" t="s">
        <v>410</v>
      </c>
    </row>
    <row r="47" ht="79.5" customHeight="1">
      <c r="A47" s="8" t="s">
        <v>411</v>
      </c>
      <c r="B47" s="6" t="s">
        <v>412</v>
      </c>
      <c r="C47" s="6" t="s">
        <v>33</v>
      </c>
      <c r="D47" s="6" t="s">
        <v>413</v>
      </c>
      <c r="E47" s="9" t="s">
        <v>414</v>
      </c>
      <c r="F47" s="6" t="s">
        <v>131</v>
      </c>
      <c r="G47" s="9" t="s">
        <v>132</v>
      </c>
      <c r="H47" s="9" t="s">
        <v>133</v>
      </c>
      <c r="I47" s="11"/>
      <c r="J47" s="9" t="s">
        <v>135</v>
      </c>
      <c r="K47" s="6" t="s">
        <v>415</v>
      </c>
    </row>
    <row r="48" ht="79.5" customHeight="1">
      <c r="A48" s="13" t="s">
        <v>416</v>
      </c>
      <c r="B48" s="7" t="s">
        <v>417</v>
      </c>
      <c r="C48" s="7" t="s">
        <v>33</v>
      </c>
      <c r="D48" s="7" t="s">
        <v>413</v>
      </c>
      <c r="E48" s="17" t="s">
        <v>38</v>
      </c>
      <c r="F48" s="7" t="s">
        <v>418</v>
      </c>
      <c r="G48" s="17" t="s">
        <v>187</v>
      </c>
      <c r="H48" s="17" t="s">
        <v>188</v>
      </c>
      <c r="I48" s="20"/>
      <c r="J48" s="17" t="s">
        <v>135</v>
      </c>
      <c r="K48" s="7" t="s">
        <v>419</v>
      </c>
    </row>
    <row r="49" ht="79.5" customHeight="1">
      <c r="A49" s="8" t="s">
        <v>420</v>
      </c>
      <c r="B49" s="6" t="s">
        <v>421</v>
      </c>
      <c r="C49" s="6" t="s">
        <v>33</v>
      </c>
      <c r="D49" s="6" t="s">
        <v>413</v>
      </c>
      <c r="E49" s="9" t="s">
        <v>38</v>
      </c>
      <c r="F49" s="6" t="s">
        <v>418</v>
      </c>
      <c r="G49" s="9" t="s">
        <v>187</v>
      </c>
      <c r="H49" s="9" t="s">
        <v>188</v>
      </c>
      <c r="I49" s="11"/>
      <c r="J49" s="9" t="s">
        <v>135</v>
      </c>
      <c r="K49" s="6" t="s">
        <v>422</v>
      </c>
    </row>
    <row r="50" ht="79.5" customHeight="1">
      <c r="A50" s="13" t="s">
        <v>423</v>
      </c>
      <c r="B50" s="7" t="s">
        <v>424</v>
      </c>
      <c r="C50" s="7" t="s">
        <v>33</v>
      </c>
      <c r="D50" s="7" t="s">
        <v>413</v>
      </c>
      <c r="E50" s="17" t="s">
        <v>38</v>
      </c>
      <c r="F50" s="7" t="s">
        <v>418</v>
      </c>
      <c r="G50" s="17" t="s">
        <v>187</v>
      </c>
      <c r="H50" s="17" t="s">
        <v>188</v>
      </c>
      <c r="I50" s="20"/>
      <c r="J50" s="17" t="s">
        <v>135</v>
      </c>
      <c r="K50" s="7" t="s">
        <v>425</v>
      </c>
    </row>
    <row r="51" ht="79.5" customHeight="1">
      <c r="A51" s="8" t="s">
        <v>426</v>
      </c>
      <c r="B51" s="6" t="s">
        <v>427</v>
      </c>
      <c r="C51" s="6" t="s">
        <v>33</v>
      </c>
      <c r="D51" s="6" t="s">
        <v>428</v>
      </c>
      <c r="E51" s="9" t="s">
        <v>38</v>
      </c>
      <c r="F51" s="6" t="s">
        <v>418</v>
      </c>
      <c r="G51" s="9" t="s">
        <v>187</v>
      </c>
      <c r="H51" s="9" t="s">
        <v>188</v>
      </c>
      <c r="I51" s="11"/>
      <c r="J51" s="9" t="s">
        <v>135</v>
      </c>
      <c r="K51" s="6" t="s">
        <v>429</v>
      </c>
    </row>
    <row r="52" ht="79.5" customHeight="1">
      <c r="A52" s="13" t="s">
        <v>430</v>
      </c>
      <c r="B52" s="7" t="s">
        <v>431</v>
      </c>
      <c r="C52" s="7" t="s">
        <v>33</v>
      </c>
      <c r="D52" s="7" t="s">
        <v>428</v>
      </c>
      <c r="E52" s="17" t="s">
        <v>175</v>
      </c>
      <c r="F52" s="7" t="s">
        <v>418</v>
      </c>
      <c r="G52" s="17" t="s">
        <v>187</v>
      </c>
      <c r="H52" s="17" t="s">
        <v>188</v>
      </c>
      <c r="I52" s="20"/>
      <c r="J52" s="17" t="s">
        <v>135</v>
      </c>
      <c r="K52" s="7" t="s">
        <v>432</v>
      </c>
    </row>
    <row r="53" ht="79.5" customHeight="1">
      <c r="A53" s="8" t="s">
        <v>433</v>
      </c>
      <c r="B53" s="6" t="s">
        <v>434</v>
      </c>
      <c r="C53" s="6" t="s">
        <v>33</v>
      </c>
      <c r="D53" s="6" t="s">
        <v>428</v>
      </c>
      <c r="E53" s="9" t="s">
        <v>175</v>
      </c>
      <c r="F53" s="6" t="s">
        <v>435</v>
      </c>
      <c r="G53" s="10" t="s">
        <v>43</v>
      </c>
      <c r="H53" s="29" t="s">
        <v>436</v>
      </c>
      <c r="I53" s="11"/>
      <c r="J53" s="9" t="s">
        <v>274</v>
      </c>
      <c r="K53" s="6" t="s">
        <v>437</v>
      </c>
    </row>
    <row r="54" ht="79.5" customHeight="1">
      <c r="A54" s="13" t="s">
        <v>438</v>
      </c>
      <c r="B54" s="7" t="s">
        <v>439</v>
      </c>
      <c r="C54" s="7" t="s">
        <v>33</v>
      </c>
      <c r="D54" s="7" t="s">
        <v>440</v>
      </c>
      <c r="E54" s="17" t="s">
        <v>38</v>
      </c>
      <c r="F54" s="7" t="s">
        <v>435</v>
      </c>
      <c r="G54" s="19" t="s">
        <v>43</v>
      </c>
      <c r="H54" s="17" t="s">
        <v>47</v>
      </c>
      <c r="I54" s="20"/>
      <c r="J54" s="17" t="s">
        <v>274</v>
      </c>
      <c r="K54" s="7" t="s">
        <v>441</v>
      </c>
    </row>
    <row r="55" ht="79.5" customHeight="1">
      <c r="A55" s="8" t="s">
        <v>442</v>
      </c>
      <c r="B55" s="6" t="s">
        <v>443</v>
      </c>
      <c r="C55" s="6" t="s">
        <v>33</v>
      </c>
      <c r="D55" s="6" t="s">
        <v>440</v>
      </c>
      <c r="E55" s="9" t="s">
        <v>38</v>
      </c>
      <c r="F55" s="6" t="s">
        <v>444</v>
      </c>
      <c r="G55" s="9" t="s">
        <v>307</v>
      </c>
      <c r="H55" s="9" t="s">
        <v>308</v>
      </c>
      <c r="I55" s="11"/>
      <c r="J55" s="9" t="s">
        <v>109</v>
      </c>
      <c r="K55" s="6" t="s">
        <v>445</v>
      </c>
    </row>
    <row r="56" ht="79.5" customHeight="1">
      <c r="A56" s="13" t="s">
        <v>446</v>
      </c>
      <c r="B56" s="7" t="s">
        <v>447</v>
      </c>
      <c r="C56" s="7" t="s">
        <v>33</v>
      </c>
      <c r="D56" s="7" t="s">
        <v>440</v>
      </c>
      <c r="E56" s="17" t="s">
        <v>224</v>
      </c>
      <c r="F56" s="7" t="s">
        <v>448</v>
      </c>
      <c r="G56" s="17" t="s">
        <v>43</v>
      </c>
      <c r="H56" s="17" t="s">
        <v>214</v>
      </c>
      <c r="I56" s="20"/>
      <c r="J56" s="17" t="s">
        <v>449</v>
      </c>
      <c r="K56" s="7" t="s">
        <v>450</v>
      </c>
    </row>
    <row r="57" ht="79.5" customHeight="1">
      <c r="A57" s="8" t="s">
        <v>451</v>
      </c>
      <c r="B57" s="6" t="s">
        <v>452</v>
      </c>
      <c r="C57" s="6" t="s">
        <v>33</v>
      </c>
      <c r="D57" s="6" t="s">
        <v>440</v>
      </c>
      <c r="E57" s="9" t="s">
        <v>38</v>
      </c>
      <c r="F57" s="6" t="s">
        <v>453</v>
      </c>
      <c r="G57" s="10" t="s">
        <v>43</v>
      </c>
      <c r="H57" s="9" t="s">
        <v>47</v>
      </c>
      <c r="I57" s="11"/>
      <c r="J57" s="9" t="s">
        <v>274</v>
      </c>
      <c r="K57" s="6" t="s">
        <v>454</v>
      </c>
    </row>
    <row r="58" ht="79.5" customHeight="1">
      <c r="A58" s="13" t="s">
        <v>455</v>
      </c>
      <c r="B58" s="7" t="s">
        <v>456</v>
      </c>
      <c r="C58" s="7" t="s">
        <v>33</v>
      </c>
      <c r="D58" s="7" t="s">
        <v>457</v>
      </c>
      <c r="E58" s="17" t="s">
        <v>175</v>
      </c>
      <c r="F58" s="7" t="s">
        <v>453</v>
      </c>
      <c r="G58" s="19" t="s">
        <v>43</v>
      </c>
      <c r="H58" s="17" t="s">
        <v>47</v>
      </c>
      <c r="I58" s="20"/>
      <c r="J58" s="17" t="s">
        <v>274</v>
      </c>
      <c r="K58" s="7" t="s">
        <v>458</v>
      </c>
    </row>
    <row r="59" ht="79.5" customHeight="1">
      <c r="A59" s="8" t="s">
        <v>459</v>
      </c>
      <c r="B59" s="6" t="s">
        <v>460</v>
      </c>
      <c r="C59" s="6" t="s">
        <v>33</v>
      </c>
      <c r="D59" s="6" t="s">
        <v>457</v>
      </c>
      <c r="E59" s="9" t="s">
        <v>461</v>
      </c>
      <c r="F59" s="6" t="s">
        <v>462</v>
      </c>
      <c r="G59" s="9" t="s">
        <v>463</v>
      </c>
      <c r="H59" s="9" t="s">
        <v>178</v>
      </c>
      <c r="I59" s="11"/>
      <c r="J59" s="9" t="s">
        <v>135</v>
      </c>
      <c r="K59" s="6" t="s">
        <v>464</v>
      </c>
    </row>
    <row r="60" ht="79.5" customHeight="1">
      <c r="A60" s="13" t="s">
        <v>465</v>
      </c>
      <c r="B60" s="7" t="s">
        <v>466</v>
      </c>
      <c r="C60" s="7" t="s">
        <v>33</v>
      </c>
      <c r="D60" s="7" t="s">
        <v>457</v>
      </c>
      <c r="E60" s="17" t="s">
        <v>38</v>
      </c>
      <c r="F60" s="7" t="s">
        <v>467</v>
      </c>
      <c r="G60" s="17" t="s">
        <v>187</v>
      </c>
      <c r="H60" s="17" t="s">
        <v>188</v>
      </c>
      <c r="I60" s="20"/>
      <c r="J60" s="17" t="s">
        <v>135</v>
      </c>
      <c r="K60" s="7" t="s">
        <v>468</v>
      </c>
    </row>
    <row r="61" ht="79.5" customHeight="1">
      <c r="A61" s="8" t="s">
        <v>469</v>
      </c>
      <c r="B61" s="6" t="s">
        <v>470</v>
      </c>
      <c r="C61" s="6" t="s">
        <v>33</v>
      </c>
      <c r="D61" s="6" t="s">
        <v>471</v>
      </c>
      <c r="E61" s="9" t="s">
        <v>38</v>
      </c>
      <c r="F61" s="6" t="s">
        <v>121</v>
      </c>
      <c r="G61" s="9" t="s">
        <v>132</v>
      </c>
      <c r="H61" s="9" t="s">
        <v>133</v>
      </c>
      <c r="I61" s="11"/>
      <c r="J61" s="9" t="s">
        <v>135</v>
      </c>
      <c r="K61" s="6" t="s">
        <v>472</v>
      </c>
    </row>
    <row r="62" ht="79.5" customHeight="1">
      <c r="A62" s="13" t="s">
        <v>473</v>
      </c>
      <c r="B62" s="7" t="s">
        <v>474</v>
      </c>
      <c r="C62" s="7" t="s">
        <v>33</v>
      </c>
      <c r="D62" s="7" t="s">
        <v>471</v>
      </c>
      <c r="E62" s="17" t="s">
        <v>38</v>
      </c>
      <c r="F62" s="7" t="s">
        <v>121</v>
      </c>
      <c r="G62" s="17" t="s">
        <v>132</v>
      </c>
      <c r="H62" s="17" t="s">
        <v>133</v>
      </c>
      <c r="I62" s="20"/>
      <c r="J62" s="17" t="s">
        <v>135</v>
      </c>
      <c r="K62" s="7" t="s">
        <v>475</v>
      </c>
    </row>
    <row r="63" ht="79.5" customHeight="1">
      <c r="A63" s="8" t="s">
        <v>476</v>
      </c>
      <c r="B63" s="6" t="s">
        <v>477</v>
      </c>
      <c r="C63" s="6" t="s">
        <v>33</v>
      </c>
      <c r="D63" s="6" t="s">
        <v>471</v>
      </c>
      <c r="E63" s="9" t="s">
        <v>38</v>
      </c>
      <c r="F63" s="6" t="s">
        <v>121</v>
      </c>
      <c r="G63" s="9" t="s">
        <v>132</v>
      </c>
      <c r="H63" s="9" t="s">
        <v>133</v>
      </c>
      <c r="I63" s="11"/>
      <c r="J63" s="9" t="s">
        <v>135</v>
      </c>
      <c r="K63" s="6" t="s">
        <v>478</v>
      </c>
    </row>
    <row r="64" ht="79.5" customHeight="1">
      <c r="A64" s="13" t="s">
        <v>479</v>
      </c>
      <c r="B64" s="7" t="s">
        <v>480</v>
      </c>
      <c r="C64" s="7" t="s">
        <v>33</v>
      </c>
      <c r="D64" s="7" t="s">
        <v>481</v>
      </c>
      <c r="E64" s="17" t="s">
        <v>175</v>
      </c>
      <c r="F64" s="7" t="s">
        <v>482</v>
      </c>
      <c r="G64" s="17" t="s">
        <v>409</v>
      </c>
      <c r="H64" s="17" t="s">
        <v>178</v>
      </c>
      <c r="I64" s="20"/>
      <c r="J64" s="17" t="s">
        <v>135</v>
      </c>
      <c r="K64" s="7" t="s">
        <v>483</v>
      </c>
    </row>
    <row r="65" ht="79.5" customHeight="1">
      <c r="A65" s="8" t="s">
        <v>484</v>
      </c>
      <c r="B65" s="6" t="s">
        <v>485</v>
      </c>
      <c r="C65" s="6" t="s">
        <v>33</v>
      </c>
      <c r="D65" s="6" t="s">
        <v>481</v>
      </c>
      <c r="E65" s="9" t="s">
        <v>414</v>
      </c>
      <c r="F65" s="6" t="s">
        <v>486</v>
      </c>
      <c r="G65" s="9" t="s">
        <v>487</v>
      </c>
      <c r="H65" s="9" t="s">
        <v>178</v>
      </c>
      <c r="I65" s="11"/>
      <c r="J65" s="9" t="s">
        <v>135</v>
      </c>
      <c r="K65" s="6" t="s">
        <v>488</v>
      </c>
    </row>
    <row r="66" ht="79.5" customHeight="1">
      <c r="A66" s="13" t="s">
        <v>338</v>
      </c>
      <c r="B66" s="7" t="s">
        <v>489</v>
      </c>
      <c r="C66" s="7" t="s">
        <v>33</v>
      </c>
      <c r="D66" s="7" t="s">
        <v>481</v>
      </c>
      <c r="E66" s="17" t="s">
        <v>38</v>
      </c>
      <c r="F66" s="7" t="s">
        <v>332</v>
      </c>
      <c r="G66" s="17" t="s">
        <v>43</v>
      </c>
      <c r="H66" s="17" t="s">
        <v>214</v>
      </c>
      <c r="I66" s="20"/>
      <c r="J66" s="17" t="s">
        <v>301</v>
      </c>
      <c r="K66" s="7" t="s">
        <v>490</v>
      </c>
    </row>
    <row r="67" ht="79.5" customHeight="1">
      <c r="A67" s="8" t="s">
        <v>491</v>
      </c>
      <c r="B67" s="6" t="s">
        <v>492</v>
      </c>
      <c r="C67" s="6" t="s">
        <v>33</v>
      </c>
      <c r="D67" s="6" t="s">
        <v>493</v>
      </c>
      <c r="E67" s="9" t="s">
        <v>175</v>
      </c>
      <c r="F67" s="6" t="s">
        <v>494</v>
      </c>
      <c r="G67" s="9" t="s">
        <v>409</v>
      </c>
      <c r="H67" s="9" t="s">
        <v>178</v>
      </c>
      <c r="I67" s="11"/>
      <c r="J67" s="9" t="s">
        <v>135</v>
      </c>
      <c r="K67" s="6" t="s">
        <v>495</v>
      </c>
    </row>
    <row r="68" ht="79.5" customHeight="1">
      <c r="A68" s="13" t="s">
        <v>496</v>
      </c>
      <c r="B68" s="7" t="s">
        <v>497</v>
      </c>
      <c r="C68" s="7" t="s">
        <v>33</v>
      </c>
      <c r="D68" s="7" t="s">
        <v>498</v>
      </c>
      <c r="E68" s="17" t="s">
        <v>461</v>
      </c>
      <c r="F68" s="7" t="s">
        <v>499</v>
      </c>
      <c r="G68" s="17" t="s">
        <v>500</v>
      </c>
      <c r="H68" s="17" t="s">
        <v>178</v>
      </c>
      <c r="I68" s="20"/>
      <c r="J68" s="17" t="s">
        <v>135</v>
      </c>
      <c r="K68" s="7" t="s">
        <v>501</v>
      </c>
    </row>
    <row r="69" ht="79.5" customHeight="1">
      <c r="A69" s="8" t="s">
        <v>502</v>
      </c>
      <c r="B69" s="6" t="s">
        <v>503</v>
      </c>
      <c r="C69" s="6" t="s">
        <v>33</v>
      </c>
      <c r="D69" s="6" t="s">
        <v>493</v>
      </c>
      <c r="E69" s="9" t="s">
        <v>414</v>
      </c>
      <c r="F69" s="6" t="s">
        <v>504</v>
      </c>
      <c r="G69" s="9" t="s">
        <v>487</v>
      </c>
      <c r="H69" s="9" t="s">
        <v>178</v>
      </c>
      <c r="I69" s="11"/>
      <c r="J69" s="9" t="s">
        <v>135</v>
      </c>
      <c r="K69" s="6" t="s">
        <v>505</v>
      </c>
    </row>
    <row r="70" ht="79.5" customHeight="1">
      <c r="A70" s="13" t="s">
        <v>506</v>
      </c>
      <c r="B70" s="7" t="s">
        <v>507</v>
      </c>
      <c r="C70" s="7" t="s">
        <v>33</v>
      </c>
      <c r="D70" s="7" t="s">
        <v>493</v>
      </c>
      <c r="E70" s="17" t="s">
        <v>414</v>
      </c>
      <c r="F70" s="7" t="s">
        <v>508</v>
      </c>
      <c r="G70" s="17" t="s">
        <v>487</v>
      </c>
      <c r="H70" s="17" t="s">
        <v>178</v>
      </c>
      <c r="I70" s="20"/>
      <c r="J70" s="17" t="s">
        <v>135</v>
      </c>
      <c r="K70" s="7" t="s">
        <v>509</v>
      </c>
    </row>
    <row r="71" ht="79.5" customHeight="1">
      <c r="A71" s="8" t="s">
        <v>510</v>
      </c>
      <c r="B71" s="6" t="s">
        <v>511</v>
      </c>
      <c r="C71" s="6" t="s">
        <v>33</v>
      </c>
      <c r="D71" s="6" t="s">
        <v>493</v>
      </c>
      <c r="E71" s="9" t="s">
        <v>414</v>
      </c>
      <c r="F71" s="6" t="s">
        <v>508</v>
      </c>
      <c r="G71" s="9" t="s">
        <v>487</v>
      </c>
      <c r="H71" s="9" t="s">
        <v>178</v>
      </c>
      <c r="I71" s="11"/>
      <c r="J71" s="9" t="s">
        <v>135</v>
      </c>
      <c r="K71" s="6" t="s">
        <v>512</v>
      </c>
    </row>
    <row r="72" ht="79.5" customHeight="1">
      <c r="A72" s="13" t="s">
        <v>513</v>
      </c>
      <c r="B72" s="7" t="s">
        <v>514</v>
      </c>
      <c r="C72" s="7" t="s">
        <v>515</v>
      </c>
      <c r="D72" s="7" t="s">
        <v>516</v>
      </c>
      <c r="E72" s="17" t="s">
        <v>517</v>
      </c>
      <c r="F72" s="7" t="s">
        <v>155</v>
      </c>
      <c r="G72" s="17" t="s">
        <v>518</v>
      </c>
      <c r="H72" s="17" t="s">
        <v>519</v>
      </c>
      <c r="I72" s="20"/>
      <c r="J72" s="17" t="s">
        <v>135</v>
      </c>
      <c r="K72" s="7" t="s">
        <v>520</v>
      </c>
    </row>
    <row r="73" ht="79.5" customHeight="1">
      <c r="A73" s="8" t="s">
        <v>521</v>
      </c>
      <c r="B73" s="6" t="s">
        <v>522</v>
      </c>
      <c r="C73" s="6" t="s">
        <v>515</v>
      </c>
      <c r="D73" s="6" t="s">
        <v>516</v>
      </c>
      <c r="E73" s="9" t="s">
        <v>517</v>
      </c>
      <c r="F73" s="6" t="s">
        <v>155</v>
      </c>
      <c r="G73" s="9" t="s">
        <v>518</v>
      </c>
      <c r="H73" s="9" t="s">
        <v>519</v>
      </c>
      <c r="I73" s="11"/>
      <c r="J73" s="9" t="s">
        <v>135</v>
      </c>
      <c r="K73" s="6" t="s">
        <v>523</v>
      </c>
    </row>
    <row r="74" ht="79.5" customHeight="1">
      <c r="A74" s="13" t="s">
        <v>524</v>
      </c>
      <c r="B74" s="7" t="s">
        <v>525</v>
      </c>
      <c r="C74" s="7" t="s">
        <v>515</v>
      </c>
      <c r="D74" s="7" t="s">
        <v>516</v>
      </c>
      <c r="E74" s="17" t="s">
        <v>517</v>
      </c>
      <c r="F74" s="7" t="s">
        <v>418</v>
      </c>
      <c r="G74" s="17" t="s">
        <v>187</v>
      </c>
      <c r="H74" s="17" t="s">
        <v>188</v>
      </c>
      <c r="I74" s="20"/>
      <c r="J74" s="17" t="s">
        <v>135</v>
      </c>
      <c r="K74" s="7" t="s">
        <v>526</v>
      </c>
    </row>
    <row r="75" ht="79.5" customHeight="1">
      <c r="A75" s="8" t="s">
        <v>527</v>
      </c>
      <c r="B75" s="6" t="s">
        <v>528</v>
      </c>
      <c r="C75" s="6" t="s">
        <v>515</v>
      </c>
      <c r="D75" s="6" t="s">
        <v>516</v>
      </c>
      <c r="E75" s="9" t="s">
        <v>517</v>
      </c>
      <c r="F75" s="6" t="s">
        <v>135</v>
      </c>
      <c r="G75" s="9" t="s">
        <v>529</v>
      </c>
      <c r="H75" s="9" t="s">
        <v>519</v>
      </c>
      <c r="I75" s="11"/>
      <c r="J75" s="9" t="s">
        <v>135</v>
      </c>
      <c r="K75" s="6" t="s">
        <v>530</v>
      </c>
    </row>
    <row r="76" ht="79.5" customHeight="1">
      <c r="A76" s="13" t="s">
        <v>531</v>
      </c>
      <c r="B76" s="7" t="s">
        <v>532</v>
      </c>
      <c r="C76" s="7" t="s">
        <v>515</v>
      </c>
      <c r="D76" s="7" t="s">
        <v>533</v>
      </c>
      <c r="E76" s="17" t="s">
        <v>517</v>
      </c>
      <c r="F76" s="7" t="s">
        <v>462</v>
      </c>
      <c r="G76" s="17" t="s">
        <v>177</v>
      </c>
      <c r="H76" s="17" t="s">
        <v>178</v>
      </c>
      <c r="I76" s="20"/>
      <c r="J76" s="17" t="s">
        <v>135</v>
      </c>
      <c r="K76" s="7" t="s">
        <v>534</v>
      </c>
    </row>
    <row r="77" ht="79.5" customHeight="1">
      <c r="A77" s="8" t="s">
        <v>535</v>
      </c>
      <c r="B77" s="6" t="s">
        <v>536</v>
      </c>
      <c r="C77" s="6" t="s">
        <v>515</v>
      </c>
      <c r="D77" s="6" t="s">
        <v>533</v>
      </c>
      <c r="E77" s="9" t="s">
        <v>517</v>
      </c>
      <c r="F77" s="6" t="s">
        <v>537</v>
      </c>
      <c r="G77" s="9" t="s">
        <v>43</v>
      </c>
      <c r="H77" s="9" t="s">
        <v>214</v>
      </c>
      <c r="I77" s="11"/>
      <c r="J77" s="9" t="s">
        <v>135</v>
      </c>
      <c r="K77" s="6" t="s">
        <v>538</v>
      </c>
    </row>
    <row r="78" ht="79.5" customHeight="1">
      <c r="A78" s="13" t="s">
        <v>539</v>
      </c>
      <c r="B78" s="7" t="s">
        <v>540</v>
      </c>
      <c r="C78" s="7" t="s">
        <v>515</v>
      </c>
      <c r="D78" s="7" t="s">
        <v>533</v>
      </c>
      <c r="E78" s="17" t="s">
        <v>517</v>
      </c>
      <c r="F78" s="7" t="s">
        <v>152</v>
      </c>
      <c r="G78" s="17" t="s">
        <v>529</v>
      </c>
      <c r="H78" s="17" t="s">
        <v>519</v>
      </c>
      <c r="I78" s="20"/>
      <c r="J78" s="17" t="s">
        <v>135</v>
      </c>
      <c r="K78" s="7" t="s">
        <v>541</v>
      </c>
    </row>
    <row r="79" ht="79.5" customHeight="1">
      <c r="A79" s="8" t="s">
        <v>542</v>
      </c>
      <c r="B79" s="6" t="s">
        <v>543</v>
      </c>
      <c r="C79" s="6" t="s">
        <v>515</v>
      </c>
      <c r="D79" s="6" t="s">
        <v>533</v>
      </c>
      <c r="E79" s="9" t="s">
        <v>517</v>
      </c>
      <c r="F79" s="6" t="s">
        <v>152</v>
      </c>
      <c r="G79" s="9" t="s">
        <v>132</v>
      </c>
      <c r="H79" s="9" t="s">
        <v>544</v>
      </c>
      <c r="I79" s="11"/>
      <c r="J79" s="9" t="s">
        <v>135</v>
      </c>
      <c r="K79" s="6" t="s">
        <v>545</v>
      </c>
    </row>
    <row r="80" ht="79.5" customHeight="1">
      <c r="A80" s="13" t="s">
        <v>546</v>
      </c>
      <c r="B80" s="7" t="s">
        <v>547</v>
      </c>
      <c r="C80" s="7" t="s">
        <v>515</v>
      </c>
      <c r="D80" s="7" t="s">
        <v>533</v>
      </c>
      <c r="E80" s="17" t="s">
        <v>517</v>
      </c>
      <c r="F80" s="7" t="s">
        <v>140</v>
      </c>
      <c r="G80" s="17" t="s">
        <v>43</v>
      </c>
      <c r="H80" s="17" t="s">
        <v>214</v>
      </c>
      <c r="I80" s="20"/>
      <c r="J80" s="17" t="s">
        <v>135</v>
      </c>
      <c r="K80" s="7" t="s">
        <v>548</v>
      </c>
    </row>
    <row r="81" ht="79.5" customHeight="1">
      <c r="A81" s="8" t="s">
        <v>549</v>
      </c>
      <c r="B81" s="6" t="s">
        <v>550</v>
      </c>
      <c r="C81" s="6" t="s">
        <v>515</v>
      </c>
      <c r="D81" s="6" t="s">
        <v>551</v>
      </c>
      <c r="E81" s="9" t="s">
        <v>517</v>
      </c>
      <c r="F81" s="6" t="s">
        <v>552</v>
      </c>
      <c r="G81" s="10" t="s">
        <v>43</v>
      </c>
      <c r="H81" s="9" t="s">
        <v>47</v>
      </c>
      <c r="I81" s="11"/>
      <c r="J81" s="9" t="s">
        <v>449</v>
      </c>
      <c r="K81" s="6" t="s">
        <v>553</v>
      </c>
    </row>
    <row r="82" ht="79.5" customHeight="1">
      <c r="A82" s="13" t="s">
        <v>554</v>
      </c>
      <c r="B82" s="7" t="s">
        <v>555</v>
      </c>
      <c r="C82" s="7" t="s">
        <v>515</v>
      </c>
      <c r="D82" s="7" t="s">
        <v>556</v>
      </c>
      <c r="E82" s="17" t="s">
        <v>517</v>
      </c>
      <c r="F82" s="7" t="s">
        <v>213</v>
      </c>
      <c r="G82" s="17" t="s">
        <v>43</v>
      </c>
      <c r="H82" s="17" t="s">
        <v>214</v>
      </c>
      <c r="I82" s="20"/>
      <c r="J82" s="17" t="s">
        <v>216</v>
      </c>
      <c r="K82" s="7" t="s">
        <v>557</v>
      </c>
    </row>
    <row r="83" ht="79.5" customHeight="1">
      <c r="A83" s="8" t="s">
        <v>558</v>
      </c>
      <c r="B83" s="6" t="s">
        <v>559</v>
      </c>
      <c r="C83" s="6" t="s">
        <v>515</v>
      </c>
      <c r="D83" s="6" t="s">
        <v>551</v>
      </c>
      <c r="E83" s="9" t="s">
        <v>517</v>
      </c>
      <c r="F83" s="6" t="s">
        <v>560</v>
      </c>
      <c r="G83" s="9" t="s">
        <v>43</v>
      </c>
      <c r="H83" s="9" t="s">
        <v>214</v>
      </c>
      <c r="I83" s="11"/>
      <c r="J83" s="9" t="s">
        <v>135</v>
      </c>
      <c r="K83" s="6" t="s">
        <v>561</v>
      </c>
    </row>
    <row r="84" ht="79.5" customHeight="1">
      <c r="A84" s="13" t="s">
        <v>562</v>
      </c>
      <c r="B84" s="7" t="s">
        <v>563</v>
      </c>
      <c r="C84" s="7" t="s">
        <v>515</v>
      </c>
      <c r="D84" s="7" t="s">
        <v>551</v>
      </c>
      <c r="E84" s="17" t="s">
        <v>517</v>
      </c>
      <c r="F84" s="7" t="s">
        <v>564</v>
      </c>
      <c r="G84" s="17" t="s">
        <v>518</v>
      </c>
      <c r="H84" s="17" t="s">
        <v>519</v>
      </c>
      <c r="I84" s="20"/>
      <c r="J84" s="17" t="s">
        <v>135</v>
      </c>
      <c r="K84" s="7" t="s">
        <v>565</v>
      </c>
    </row>
    <row r="85" ht="79.5" customHeight="1">
      <c r="A85" s="8" t="s">
        <v>566</v>
      </c>
      <c r="B85" s="6" t="s">
        <v>567</v>
      </c>
      <c r="C85" s="6" t="s">
        <v>515</v>
      </c>
      <c r="D85" s="6" t="s">
        <v>568</v>
      </c>
      <c r="E85" s="9" t="s">
        <v>517</v>
      </c>
      <c r="F85" s="6" t="s">
        <v>569</v>
      </c>
      <c r="G85" s="9" t="s">
        <v>518</v>
      </c>
      <c r="H85" s="9" t="s">
        <v>519</v>
      </c>
      <c r="I85" s="11"/>
      <c r="J85" s="9" t="s">
        <v>135</v>
      </c>
      <c r="K85" s="6" t="s">
        <v>570</v>
      </c>
    </row>
    <row r="86" ht="79.5" customHeight="1">
      <c r="A86" s="13" t="s">
        <v>571</v>
      </c>
      <c r="B86" s="7" t="s">
        <v>572</v>
      </c>
      <c r="C86" s="7" t="s">
        <v>515</v>
      </c>
      <c r="D86" s="7" t="s">
        <v>568</v>
      </c>
      <c r="E86" s="17" t="s">
        <v>517</v>
      </c>
      <c r="F86" s="7" t="s">
        <v>564</v>
      </c>
      <c r="G86" s="17" t="s">
        <v>518</v>
      </c>
      <c r="H86" s="17" t="s">
        <v>519</v>
      </c>
      <c r="I86" s="20"/>
      <c r="J86" s="17" t="s">
        <v>135</v>
      </c>
      <c r="K86" s="7" t="s">
        <v>573</v>
      </c>
    </row>
    <row r="87" ht="79.5" customHeight="1">
      <c r="A87" s="8" t="s">
        <v>574</v>
      </c>
      <c r="B87" s="6" t="s">
        <v>575</v>
      </c>
      <c r="C87" s="6" t="s">
        <v>515</v>
      </c>
      <c r="D87" s="6" t="s">
        <v>576</v>
      </c>
      <c r="E87" s="9" t="s">
        <v>517</v>
      </c>
      <c r="F87" s="6" t="s">
        <v>119</v>
      </c>
      <c r="G87" s="9" t="s">
        <v>43</v>
      </c>
      <c r="H87" s="9" t="s">
        <v>214</v>
      </c>
      <c r="I87" s="11"/>
      <c r="J87" s="9" t="s">
        <v>310</v>
      </c>
      <c r="K87" s="6" t="s">
        <v>577</v>
      </c>
    </row>
    <row r="88" ht="79.5" customHeight="1">
      <c r="A88" s="13" t="s">
        <v>578</v>
      </c>
      <c r="B88" s="7" t="s">
        <v>579</v>
      </c>
      <c r="C88" s="7" t="s">
        <v>515</v>
      </c>
      <c r="D88" s="7" t="s">
        <v>568</v>
      </c>
      <c r="E88" s="17" t="s">
        <v>517</v>
      </c>
      <c r="F88" s="7" t="s">
        <v>580</v>
      </c>
      <c r="G88" s="17" t="s">
        <v>581</v>
      </c>
      <c r="H88" s="29" t="s">
        <v>582</v>
      </c>
      <c r="I88" s="20"/>
      <c r="J88" s="17" t="s">
        <v>301</v>
      </c>
      <c r="K88" s="7" t="s">
        <v>583</v>
      </c>
    </row>
    <row r="89" ht="79.5" customHeight="1">
      <c r="A89" s="8" t="s">
        <v>584</v>
      </c>
      <c r="B89" s="6" t="s">
        <v>585</v>
      </c>
      <c r="C89" s="6" t="s">
        <v>515</v>
      </c>
      <c r="D89" s="6" t="s">
        <v>586</v>
      </c>
      <c r="E89" s="9" t="s">
        <v>517</v>
      </c>
      <c r="F89" s="6" t="s">
        <v>140</v>
      </c>
      <c r="G89" s="9" t="s">
        <v>43</v>
      </c>
      <c r="H89" s="9" t="s">
        <v>214</v>
      </c>
      <c r="I89" s="11"/>
      <c r="J89" s="9" t="s">
        <v>301</v>
      </c>
      <c r="K89" s="6" t="s">
        <v>587</v>
      </c>
    </row>
    <row r="90" ht="79.5" customHeight="1">
      <c r="A90" s="13" t="s">
        <v>588</v>
      </c>
      <c r="B90" s="7" t="s">
        <v>589</v>
      </c>
      <c r="C90" s="7" t="s">
        <v>515</v>
      </c>
      <c r="D90" s="7" t="s">
        <v>586</v>
      </c>
      <c r="E90" s="17" t="s">
        <v>517</v>
      </c>
      <c r="F90" s="7" t="s">
        <v>590</v>
      </c>
      <c r="G90" s="17" t="s">
        <v>518</v>
      </c>
      <c r="H90" s="17" t="s">
        <v>519</v>
      </c>
      <c r="I90" s="20"/>
      <c r="J90" s="17" t="s">
        <v>51</v>
      </c>
      <c r="K90" s="7" t="s">
        <v>591</v>
      </c>
    </row>
    <row r="91" ht="79.5" customHeight="1">
      <c r="A91" s="8" t="s">
        <v>592</v>
      </c>
      <c r="B91" s="6" t="s">
        <v>593</v>
      </c>
      <c r="C91" s="6" t="s">
        <v>515</v>
      </c>
      <c r="D91" s="6" t="s">
        <v>586</v>
      </c>
      <c r="E91" s="9" t="s">
        <v>517</v>
      </c>
      <c r="F91" s="6" t="s">
        <v>140</v>
      </c>
      <c r="G91" s="9" t="s">
        <v>43</v>
      </c>
      <c r="H91" s="9" t="s">
        <v>214</v>
      </c>
      <c r="I91" s="11"/>
      <c r="J91" s="9" t="s">
        <v>135</v>
      </c>
      <c r="K91" s="6" t="s">
        <v>594</v>
      </c>
    </row>
    <row r="92" ht="79.5" customHeight="1">
      <c r="A92" s="13" t="s">
        <v>595</v>
      </c>
      <c r="B92" s="7" t="s">
        <v>596</v>
      </c>
      <c r="C92" s="7" t="s">
        <v>515</v>
      </c>
      <c r="D92" s="7" t="s">
        <v>586</v>
      </c>
      <c r="E92" s="17" t="s">
        <v>517</v>
      </c>
      <c r="F92" s="7" t="s">
        <v>135</v>
      </c>
      <c r="G92" s="17" t="s">
        <v>597</v>
      </c>
      <c r="H92" s="17" t="s">
        <v>519</v>
      </c>
      <c r="I92" s="20"/>
      <c r="J92" s="17" t="s">
        <v>135</v>
      </c>
      <c r="K92" s="7" t="s">
        <v>598</v>
      </c>
    </row>
    <row r="93" ht="15.75" customHeight="1"/>
    <row r="94" ht="24.75" customHeight="1">
      <c r="A94" s="30" t="s">
        <v>599</v>
      </c>
      <c r="B94" s="15"/>
      <c r="C94" s="15"/>
      <c r="D94" s="15"/>
      <c r="E94" s="15"/>
      <c r="F94" s="15"/>
      <c r="G94" s="15"/>
      <c r="H94" s="15"/>
      <c r="I94" s="15"/>
      <c r="J94" s="15"/>
      <c r="K94" s="16"/>
    </row>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K1"/>
    <mergeCell ref="A2:K2"/>
    <mergeCell ref="A94:K94"/>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26A9B"/>
    <pageSetUpPr/>
  </sheetPr>
  <sheetViews>
    <sheetView showGridLines="0" workbookViewId="0">
      <pane ySplit="7.0" topLeftCell="A8" activePane="bottomLeft" state="frozen"/>
      <selection activeCell="B9" sqref="B9" pane="bottomLeft"/>
    </sheetView>
  </sheetViews>
  <sheetFormatPr customHeight="1" defaultColWidth="12.63" defaultRowHeight="15.0"/>
  <cols>
    <col customWidth="1" min="1" max="1" width="13.0"/>
    <col customWidth="1" min="2" max="2" width="55.0"/>
    <col customWidth="1" min="3" max="3" width="23.0"/>
    <col customWidth="1" min="4" max="4" width="19.0"/>
    <col customWidth="1" min="5" max="5" width="17.0"/>
    <col customWidth="1" min="6" max="6" width="16.0"/>
    <col customWidth="1" min="7" max="7" width="27.0"/>
    <col customWidth="1" min="8" max="8" width="18.0"/>
    <col customWidth="1" min="9" max="9" width="26.0"/>
    <col customWidth="1" min="10" max="10" width="75.0"/>
    <col customWidth="1" min="11" max="11" width="64.0"/>
    <col customWidth="1" min="12" max="26" width="8.63"/>
  </cols>
  <sheetData>
    <row r="1" ht="30.0" customHeight="1">
      <c r="A1" s="1" t="s">
        <v>0</v>
      </c>
    </row>
    <row r="2" ht="22.5" customHeight="1">
      <c r="A2" s="2" t="s">
        <v>4</v>
      </c>
    </row>
    <row r="3">
      <c r="A3" s="3"/>
      <c r="B3" s="3"/>
      <c r="C3" s="3"/>
      <c r="D3" s="3"/>
      <c r="E3" s="3"/>
      <c r="F3" s="3"/>
      <c r="G3" s="3"/>
      <c r="H3" s="3"/>
      <c r="I3" s="3"/>
      <c r="J3" s="3"/>
    </row>
    <row r="4">
      <c r="A4" s="4" t="s">
        <v>7</v>
      </c>
      <c r="B4" s="12">
        <f>SUMIFS(D8:D32,E8:E32,"Sprint 1")</f>
        <v>34</v>
      </c>
      <c r="C4" s="4"/>
      <c r="D4" s="4" t="s">
        <v>68</v>
      </c>
      <c r="E4" s="12">
        <f>SUMIFS(D8:D32,E8:E32,"Sprint 2")</f>
        <v>88</v>
      </c>
    </row>
    <row r="5" ht="24.0" customHeight="1">
      <c r="A5" s="18" t="s">
        <v>79</v>
      </c>
    </row>
    <row r="7" ht="48.0" customHeight="1">
      <c r="A7" s="5" t="s">
        <v>87</v>
      </c>
      <c r="B7" s="5" t="s">
        <v>91</v>
      </c>
      <c r="C7" s="5" t="s">
        <v>13</v>
      </c>
      <c r="D7" s="5" t="s">
        <v>95</v>
      </c>
      <c r="E7" s="5" t="s">
        <v>98</v>
      </c>
      <c r="F7" s="5" t="s">
        <v>101</v>
      </c>
      <c r="G7" s="5" t="s">
        <v>22</v>
      </c>
      <c r="H7" s="5" t="s">
        <v>107</v>
      </c>
      <c r="I7" s="5" t="s">
        <v>110</v>
      </c>
      <c r="J7" s="5" t="s">
        <v>114</v>
      </c>
      <c r="K7" s="5" t="s">
        <v>117</v>
      </c>
    </row>
    <row r="8" ht="55.5" customHeight="1">
      <c r="A8" s="8" t="s">
        <v>121</v>
      </c>
      <c r="B8" s="6" t="s">
        <v>125</v>
      </c>
      <c r="C8" s="6" t="s">
        <v>128</v>
      </c>
      <c r="D8" s="21">
        <v>8.0</v>
      </c>
      <c r="E8" s="9" t="s">
        <v>132</v>
      </c>
      <c r="F8" s="9" t="s">
        <v>38</v>
      </c>
      <c r="G8" s="9" t="s">
        <v>141</v>
      </c>
      <c r="H8" s="9" t="s">
        <v>135</v>
      </c>
      <c r="I8" s="6" t="s">
        <v>144</v>
      </c>
      <c r="J8" s="6" t="s">
        <v>146</v>
      </c>
      <c r="K8" s="6" t="s">
        <v>148</v>
      </c>
    </row>
    <row r="9" ht="55.5" customHeight="1">
      <c r="A9" s="13" t="s">
        <v>152</v>
      </c>
      <c r="B9" s="7" t="s">
        <v>156</v>
      </c>
      <c r="C9" s="7" t="s">
        <v>128</v>
      </c>
      <c r="D9" s="22">
        <v>5.0</v>
      </c>
      <c r="E9" s="17" t="s">
        <v>132</v>
      </c>
      <c r="F9" s="17" t="s">
        <v>38</v>
      </c>
      <c r="G9" s="17" t="s">
        <v>166</v>
      </c>
      <c r="H9" s="17" t="s">
        <v>135</v>
      </c>
      <c r="I9" s="7" t="s">
        <v>144</v>
      </c>
      <c r="J9" s="7" t="s">
        <v>169</v>
      </c>
      <c r="K9" s="7" t="s">
        <v>171</v>
      </c>
    </row>
    <row r="10" ht="55.5" customHeight="1">
      <c r="A10" s="8" t="s">
        <v>41</v>
      </c>
      <c r="B10" s="6" t="s">
        <v>174</v>
      </c>
      <c r="C10" s="6" t="s">
        <v>128</v>
      </c>
      <c r="D10" s="21">
        <v>5.0</v>
      </c>
      <c r="E10" s="9" t="s">
        <v>132</v>
      </c>
      <c r="F10" s="9" t="s">
        <v>38</v>
      </c>
      <c r="G10" s="9" t="s">
        <v>166</v>
      </c>
      <c r="H10" s="9" t="s">
        <v>135</v>
      </c>
      <c r="I10" s="6" t="s">
        <v>144</v>
      </c>
      <c r="J10" s="6" t="s">
        <v>180</v>
      </c>
      <c r="K10" s="6" t="s">
        <v>182</v>
      </c>
    </row>
    <row r="11" ht="55.5" customHeight="1">
      <c r="A11" s="13" t="s">
        <v>131</v>
      </c>
      <c r="B11" s="7" t="s">
        <v>184</v>
      </c>
      <c r="C11" s="7" t="s">
        <v>128</v>
      </c>
      <c r="D11" s="22">
        <v>8.0</v>
      </c>
      <c r="E11" s="17" t="s">
        <v>132</v>
      </c>
      <c r="F11" s="17" t="s">
        <v>38</v>
      </c>
      <c r="G11" s="17" t="s">
        <v>141</v>
      </c>
      <c r="H11" s="17" t="s">
        <v>135</v>
      </c>
      <c r="I11" s="7" t="s">
        <v>144</v>
      </c>
      <c r="J11" s="7" t="s">
        <v>190</v>
      </c>
      <c r="K11" s="7" t="s">
        <v>193</v>
      </c>
    </row>
    <row r="12" ht="55.5" customHeight="1">
      <c r="A12" s="8" t="s">
        <v>155</v>
      </c>
      <c r="B12" s="6" t="s">
        <v>195</v>
      </c>
      <c r="C12" s="6" t="s">
        <v>128</v>
      </c>
      <c r="D12" s="21">
        <v>8.0</v>
      </c>
      <c r="E12" s="9" t="s">
        <v>132</v>
      </c>
      <c r="F12" s="9" t="s">
        <v>38</v>
      </c>
      <c r="G12" s="9" t="s">
        <v>141</v>
      </c>
      <c r="H12" s="9" t="s">
        <v>135</v>
      </c>
      <c r="I12" s="6" t="s">
        <v>144</v>
      </c>
      <c r="J12" s="6" t="s">
        <v>196</v>
      </c>
      <c r="K12" s="6" t="s">
        <v>197</v>
      </c>
    </row>
    <row r="13" ht="55.5" customHeight="1">
      <c r="A13" s="13" t="s">
        <v>199</v>
      </c>
      <c r="B13" s="7" t="s">
        <v>203</v>
      </c>
      <c r="C13" s="7" t="s">
        <v>204</v>
      </c>
      <c r="D13" s="22"/>
      <c r="E13" s="17" t="s">
        <v>132</v>
      </c>
      <c r="F13" s="17" t="s">
        <v>205</v>
      </c>
      <c r="G13" s="17" t="s">
        <v>141</v>
      </c>
      <c r="H13" s="17" t="s">
        <v>135</v>
      </c>
      <c r="I13" s="7" t="s">
        <v>144</v>
      </c>
      <c r="J13" s="7" t="s">
        <v>207</v>
      </c>
      <c r="K13" s="7" t="s">
        <v>209</v>
      </c>
    </row>
    <row r="14" ht="55.5" customHeight="1">
      <c r="A14" s="8" t="s">
        <v>211</v>
      </c>
      <c r="B14" s="6" t="s">
        <v>212</v>
      </c>
      <c r="C14" s="6" t="s">
        <v>204</v>
      </c>
      <c r="D14" s="21"/>
      <c r="E14" s="9" t="s">
        <v>132</v>
      </c>
      <c r="F14" s="9" t="s">
        <v>205</v>
      </c>
      <c r="G14" s="9" t="s">
        <v>141</v>
      </c>
      <c r="H14" s="9" t="s">
        <v>135</v>
      </c>
      <c r="I14" s="6" t="s">
        <v>144</v>
      </c>
      <c r="J14" s="6" t="s">
        <v>207</v>
      </c>
      <c r="K14" s="6" t="s">
        <v>219</v>
      </c>
    </row>
    <row r="15" ht="55.5" customHeight="1">
      <c r="A15" s="25" t="s">
        <v>41</v>
      </c>
      <c r="B15" s="26" t="s">
        <v>230</v>
      </c>
      <c r="C15" s="26" t="s">
        <v>128</v>
      </c>
      <c r="D15" s="27">
        <v>5.0</v>
      </c>
      <c r="E15" s="28" t="s">
        <v>43</v>
      </c>
      <c r="F15" s="28" t="s">
        <v>38</v>
      </c>
      <c r="G15" s="28" t="s">
        <v>238</v>
      </c>
      <c r="H15" s="28" t="s">
        <v>51</v>
      </c>
      <c r="I15" s="26" t="s">
        <v>241</v>
      </c>
      <c r="J15" s="26" t="s">
        <v>243</v>
      </c>
      <c r="K15" s="7" t="s">
        <v>182</v>
      </c>
    </row>
    <row r="16" ht="55.5" customHeight="1">
      <c r="A16" s="8" t="s">
        <v>76</v>
      </c>
      <c r="B16" s="6" t="s">
        <v>246</v>
      </c>
      <c r="C16" s="6" t="s">
        <v>128</v>
      </c>
      <c r="D16" s="21">
        <v>8.0</v>
      </c>
      <c r="E16" s="9" t="s">
        <v>43</v>
      </c>
      <c r="F16" s="9" t="s">
        <v>38</v>
      </c>
      <c r="G16" s="9" t="s">
        <v>251</v>
      </c>
      <c r="H16" s="9" t="s">
        <v>109</v>
      </c>
      <c r="I16" s="6" t="s">
        <v>252</v>
      </c>
      <c r="J16" s="6" t="s">
        <v>253</v>
      </c>
      <c r="K16" s="6" t="s">
        <v>254</v>
      </c>
    </row>
    <row r="17" ht="55.5" customHeight="1">
      <c r="A17" s="13" t="s">
        <v>213</v>
      </c>
      <c r="B17" s="7" t="s">
        <v>256</v>
      </c>
      <c r="C17" s="7" t="s">
        <v>128</v>
      </c>
      <c r="D17" s="22">
        <v>5.0</v>
      </c>
      <c r="E17" s="17" t="s">
        <v>43</v>
      </c>
      <c r="F17" s="17" t="s">
        <v>38</v>
      </c>
      <c r="G17" s="17" t="s">
        <v>259</v>
      </c>
      <c r="H17" s="17" t="s">
        <v>216</v>
      </c>
      <c r="I17" s="7" t="s">
        <v>252</v>
      </c>
      <c r="J17" s="7" t="s">
        <v>261</v>
      </c>
      <c r="K17" s="7" t="s">
        <v>262</v>
      </c>
    </row>
    <row r="18" ht="55.5" customHeight="1">
      <c r="A18" s="8" t="s">
        <v>235</v>
      </c>
      <c r="B18" s="6" t="s">
        <v>265</v>
      </c>
      <c r="C18" s="6" t="s">
        <v>128</v>
      </c>
      <c r="D18" s="21">
        <v>5.0</v>
      </c>
      <c r="E18" s="9" t="s">
        <v>43</v>
      </c>
      <c r="F18" s="9" t="s">
        <v>38</v>
      </c>
      <c r="G18" s="9" t="s">
        <v>259</v>
      </c>
      <c r="H18" s="9" t="s">
        <v>216</v>
      </c>
      <c r="I18" s="6" t="s">
        <v>252</v>
      </c>
      <c r="J18" s="6" t="s">
        <v>268</v>
      </c>
      <c r="K18" s="6" t="s">
        <v>269</v>
      </c>
    </row>
    <row r="19" ht="55.5" customHeight="1">
      <c r="A19" s="25" t="s">
        <v>152</v>
      </c>
      <c r="B19" s="26" t="s">
        <v>272</v>
      </c>
      <c r="C19" s="26" t="s">
        <v>128</v>
      </c>
      <c r="D19" s="27">
        <v>5.0</v>
      </c>
      <c r="E19" s="28" t="s">
        <v>43</v>
      </c>
      <c r="F19" s="28" t="s">
        <v>38</v>
      </c>
      <c r="G19" s="28" t="s">
        <v>238</v>
      </c>
      <c r="H19" s="28" t="s">
        <v>274</v>
      </c>
      <c r="I19" s="26" t="s">
        <v>241</v>
      </c>
      <c r="J19" s="26" t="s">
        <v>275</v>
      </c>
      <c r="K19" s="7" t="s">
        <v>171</v>
      </c>
    </row>
    <row r="20" ht="55.5" customHeight="1">
      <c r="A20" s="8" t="s">
        <v>278</v>
      </c>
      <c r="B20" s="6" t="s">
        <v>279</v>
      </c>
      <c r="C20" s="6" t="s">
        <v>204</v>
      </c>
      <c r="D20" s="21">
        <v>5.0</v>
      </c>
      <c r="E20" s="9" t="s">
        <v>43</v>
      </c>
      <c r="F20" s="9" t="s">
        <v>175</v>
      </c>
      <c r="G20" s="9" t="s">
        <v>259</v>
      </c>
      <c r="H20" s="9" t="s">
        <v>274</v>
      </c>
      <c r="I20" s="6" t="s">
        <v>252</v>
      </c>
      <c r="J20" s="6" t="s">
        <v>282</v>
      </c>
      <c r="K20" s="6" t="s">
        <v>283</v>
      </c>
    </row>
    <row r="21" ht="55.5" customHeight="1">
      <c r="A21" s="13" t="s">
        <v>129</v>
      </c>
      <c r="B21" s="7" t="s">
        <v>287</v>
      </c>
      <c r="C21" s="7" t="s">
        <v>204</v>
      </c>
      <c r="D21" s="22">
        <v>3.0</v>
      </c>
      <c r="E21" s="17" t="s">
        <v>43</v>
      </c>
      <c r="F21" s="17" t="s">
        <v>175</v>
      </c>
      <c r="G21" s="17" t="s">
        <v>259</v>
      </c>
      <c r="H21" s="17" t="s">
        <v>274</v>
      </c>
      <c r="I21" s="7" t="s">
        <v>252</v>
      </c>
      <c r="J21" s="7" t="s">
        <v>290</v>
      </c>
      <c r="K21" s="7" t="s">
        <v>292</v>
      </c>
    </row>
    <row r="22" ht="55.5" customHeight="1">
      <c r="A22" s="8" t="s">
        <v>293</v>
      </c>
      <c r="B22" s="6" t="s">
        <v>294</v>
      </c>
      <c r="C22" s="6" t="s">
        <v>204</v>
      </c>
      <c r="D22" s="21">
        <v>3.0</v>
      </c>
      <c r="E22" s="9" t="s">
        <v>43</v>
      </c>
      <c r="F22" s="9" t="s">
        <v>38</v>
      </c>
      <c r="G22" s="9" t="s">
        <v>259</v>
      </c>
      <c r="H22" s="9" t="s">
        <v>274</v>
      </c>
      <c r="I22" s="6" t="s">
        <v>252</v>
      </c>
      <c r="J22" s="6" t="s">
        <v>299</v>
      </c>
      <c r="K22" s="6" t="s">
        <v>300</v>
      </c>
    </row>
    <row r="23" ht="55.5" customHeight="1">
      <c r="A23" s="13" t="s">
        <v>119</v>
      </c>
      <c r="B23" s="7" t="s">
        <v>303</v>
      </c>
      <c r="C23" s="7" t="s">
        <v>128</v>
      </c>
      <c r="D23" s="22">
        <v>5.0</v>
      </c>
      <c r="E23" s="17" t="s">
        <v>43</v>
      </c>
      <c r="F23" s="17" t="s">
        <v>38</v>
      </c>
      <c r="G23" s="17" t="s">
        <v>259</v>
      </c>
      <c r="H23" s="17" t="s">
        <v>310</v>
      </c>
      <c r="I23" s="7" t="s">
        <v>252</v>
      </c>
      <c r="J23" s="7" t="s">
        <v>313</v>
      </c>
      <c r="K23" s="7" t="s">
        <v>314</v>
      </c>
    </row>
    <row r="24" ht="55.5" customHeight="1">
      <c r="A24" s="8" t="s">
        <v>102</v>
      </c>
      <c r="B24" s="6" t="s">
        <v>316</v>
      </c>
      <c r="C24" s="6" t="s">
        <v>128</v>
      </c>
      <c r="D24" s="21">
        <v>8.0</v>
      </c>
      <c r="E24" s="9" t="s">
        <v>43</v>
      </c>
      <c r="F24" s="9" t="s">
        <v>38</v>
      </c>
      <c r="G24" s="9" t="s">
        <v>259</v>
      </c>
      <c r="H24" s="9" t="s">
        <v>276</v>
      </c>
      <c r="I24" s="6" t="s">
        <v>252</v>
      </c>
      <c r="J24" s="6" t="s">
        <v>320</v>
      </c>
      <c r="K24" s="6" t="s">
        <v>321</v>
      </c>
    </row>
    <row r="25" ht="55.5" customHeight="1">
      <c r="A25" s="13" t="s">
        <v>140</v>
      </c>
      <c r="B25" s="7" t="s">
        <v>322</v>
      </c>
      <c r="C25" s="7" t="s">
        <v>128</v>
      </c>
      <c r="D25" s="22">
        <v>13.0</v>
      </c>
      <c r="E25" s="17" t="s">
        <v>43</v>
      </c>
      <c r="F25" s="17" t="s">
        <v>38</v>
      </c>
      <c r="G25" s="17" t="s">
        <v>324</v>
      </c>
      <c r="H25" s="17" t="s">
        <v>301</v>
      </c>
      <c r="I25" s="7" t="s">
        <v>252</v>
      </c>
      <c r="J25" s="7" t="s">
        <v>325</v>
      </c>
      <c r="K25" s="7" t="s">
        <v>329</v>
      </c>
    </row>
    <row r="26" ht="55.5" customHeight="1">
      <c r="A26" s="8" t="s">
        <v>332</v>
      </c>
      <c r="B26" s="6" t="s">
        <v>333</v>
      </c>
      <c r="C26" s="6" t="s">
        <v>204</v>
      </c>
      <c r="D26" s="21">
        <v>5.0</v>
      </c>
      <c r="E26" s="9" t="s">
        <v>43</v>
      </c>
      <c r="F26" s="9" t="s">
        <v>38</v>
      </c>
      <c r="G26" s="9" t="s">
        <v>324</v>
      </c>
      <c r="H26" s="9" t="s">
        <v>301</v>
      </c>
      <c r="I26" s="6" t="s">
        <v>252</v>
      </c>
      <c r="J26" s="6" t="s">
        <v>337</v>
      </c>
      <c r="K26" s="6" t="s">
        <v>338</v>
      </c>
    </row>
    <row r="27" ht="55.5" customHeight="1">
      <c r="A27" s="13" t="s">
        <v>81</v>
      </c>
      <c r="B27" s="7" t="s">
        <v>339</v>
      </c>
      <c r="C27" s="7" t="s">
        <v>128</v>
      </c>
      <c r="D27" s="22">
        <v>13.0</v>
      </c>
      <c r="E27" s="17" t="s">
        <v>43</v>
      </c>
      <c r="F27" s="17" t="s">
        <v>38</v>
      </c>
      <c r="G27" s="17" t="s">
        <v>251</v>
      </c>
      <c r="H27" s="17" t="s">
        <v>247</v>
      </c>
      <c r="I27" s="7" t="s">
        <v>252</v>
      </c>
      <c r="J27" s="7" t="s">
        <v>343</v>
      </c>
      <c r="K27" s="7" t="s">
        <v>344</v>
      </c>
    </row>
    <row r="28" ht="55.5" customHeight="1">
      <c r="A28" s="8" t="s">
        <v>93</v>
      </c>
      <c r="B28" s="6" t="s">
        <v>345</v>
      </c>
      <c r="C28" s="6" t="s">
        <v>204</v>
      </c>
      <c r="D28" s="21">
        <v>5.0</v>
      </c>
      <c r="E28" s="9" t="s">
        <v>43</v>
      </c>
      <c r="F28" s="9" t="s">
        <v>175</v>
      </c>
      <c r="G28" s="9" t="s">
        <v>251</v>
      </c>
      <c r="H28" s="9" t="s">
        <v>349</v>
      </c>
      <c r="I28" s="6" t="s">
        <v>252</v>
      </c>
      <c r="J28" s="6" t="s">
        <v>350</v>
      </c>
      <c r="K28" s="6" t="s">
        <v>351</v>
      </c>
    </row>
    <row r="29" ht="55.5" customHeight="1">
      <c r="A29" s="13" t="s">
        <v>352</v>
      </c>
      <c r="B29" s="7" t="s">
        <v>353</v>
      </c>
      <c r="C29" s="7" t="s">
        <v>355</v>
      </c>
      <c r="D29" s="22"/>
      <c r="E29" s="17" t="s">
        <v>43</v>
      </c>
      <c r="F29" s="17" t="s">
        <v>38</v>
      </c>
      <c r="G29" s="17" t="s">
        <v>358</v>
      </c>
      <c r="H29" s="17" t="s">
        <v>247</v>
      </c>
      <c r="I29" s="7" t="s">
        <v>144</v>
      </c>
      <c r="J29" s="7" t="s">
        <v>360</v>
      </c>
      <c r="K29" s="7" t="s">
        <v>361</v>
      </c>
    </row>
    <row r="30" ht="55.5" customHeight="1">
      <c r="A30" s="8" t="s">
        <v>362</v>
      </c>
      <c r="B30" s="6" t="s">
        <v>363</v>
      </c>
      <c r="C30" s="6" t="s">
        <v>365</v>
      </c>
      <c r="D30" s="21"/>
      <c r="E30" s="9" t="s">
        <v>43</v>
      </c>
      <c r="F30" s="9" t="s">
        <v>135</v>
      </c>
      <c r="G30" s="9" t="s">
        <v>358</v>
      </c>
      <c r="H30" s="9" t="s">
        <v>247</v>
      </c>
      <c r="I30" s="6" t="s">
        <v>144</v>
      </c>
      <c r="J30" s="6" t="s">
        <v>368</v>
      </c>
      <c r="K30" s="6" t="s">
        <v>369</v>
      </c>
    </row>
    <row r="31" ht="55.5" customHeight="1">
      <c r="A31" s="13" t="s">
        <v>371</v>
      </c>
      <c r="B31" s="7" t="s">
        <v>372</v>
      </c>
      <c r="C31" s="7" t="s">
        <v>373</v>
      </c>
      <c r="D31" s="22"/>
      <c r="E31" s="17" t="s">
        <v>43</v>
      </c>
      <c r="F31" s="17" t="s">
        <v>135</v>
      </c>
      <c r="G31" s="17" t="s">
        <v>375</v>
      </c>
      <c r="H31" s="17" t="s">
        <v>301</v>
      </c>
      <c r="I31" s="7" t="s">
        <v>144</v>
      </c>
      <c r="J31" s="7" t="s">
        <v>377</v>
      </c>
      <c r="K31" s="7" t="s">
        <v>338</v>
      </c>
    </row>
    <row r="32" ht="55.5" customHeight="1">
      <c r="A32" s="8" t="s">
        <v>379</v>
      </c>
      <c r="B32" s="6" t="s">
        <v>380</v>
      </c>
      <c r="C32" s="6" t="s">
        <v>373</v>
      </c>
      <c r="D32" s="21"/>
      <c r="E32" s="9" t="s">
        <v>43</v>
      </c>
      <c r="F32" s="9" t="s">
        <v>135</v>
      </c>
      <c r="G32" s="9" t="s">
        <v>381</v>
      </c>
      <c r="H32" s="9" t="s">
        <v>301</v>
      </c>
      <c r="I32" s="6" t="s">
        <v>144</v>
      </c>
      <c r="J32" s="6" t="s">
        <v>382</v>
      </c>
      <c r="K32" s="6" t="s">
        <v>383</v>
      </c>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K1"/>
    <mergeCell ref="A2:K2"/>
    <mergeCell ref="A5:J5"/>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292A9"/>
    <pageSetUpPr/>
  </sheetPr>
  <sheetViews>
    <sheetView showGridLines="0" workbookViewId="0">
      <pane ySplit="4.0" topLeftCell="A5" activePane="bottomLeft" state="frozen"/>
      <selection activeCell="B6" sqref="B6" pane="bottomLeft"/>
    </sheetView>
  </sheetViews>
  <sheetFormatPr customHeight="1" defaultColWidth="12.63" defaultRowHeight="15.0"/>
  <cols>
    <col customWidth="1" min="1" max="1" width="49.0"/>
    <col customWidth="1" min="2" max="2" width="28.0"/>
    <col customWidth="1" min="3" max="3" width="66.0"/>
    <col customWidth="1" min="4" max="4" width="91.0"/>
    <col customWidth="1" min="5" max="26" width="8.63"/>
  </cols>
  <sheetData>
    <row r="1" ht="30.0" customHeight="1">
      <c r="A1" s="1" t="s">
        <v>1</v>
      </c>
    </row>
    <row r="2" ht="22.5" customHeight="1">
      <c r="A2" s="2" t="s">
        <v>3</v>
      </c>
    </row>
    <row r="3">
      <c r="A3" s="3"/>
      <c r="B3" s="3"/>
      <c r="C3" s="3"/>
      <c r="D3" s="3"/>
    </row>
    <row r="4" ht="48.0" customHeight="1">
      <c r="A4" s="5" t="s">
        <v>6</v>
      </c>
      <c r="B4" s="5" t="s">
        <v>8</v>
      </c>
      <c r="C4" s="5" t="s">
        <v>10</v>
      </c>
      <c r="D4" s="5" t="s">
        <v>11</v>
      </c>
    </row>
    <row r="5" ht="55.5" customHeight="1">
      <c r="A5" s="6" t="s">
        <v>15</v>
      </c>
      <c r="B5" s="6" t="s">
        <v>17</v>
      </c>
      <c r="C5" s="6" t="s">
        <v>19</v>
      </c>
      <c r="D5" s="6" t="s">
        <v>21</v>
      </c>
    </row>
    <row r="6" ht="55.5" customHeight="1">
      <c r="A6" s="7" t="s">
        <v>25</v>
      </c>
      <c r="B6" s="7" t="s">
        <v>28</v>
      </c>
      <c r="C6" s="7" t="s">
        <v>29</v>
      </c>
      <c r="D6" s="7" t="s">
        <v>30</v>
      </c>
    </row>
    <row r="7" ht="55.5" customHeight="1">
      <c r="A7" s="6" t="s">
        <v>32</v>
      </c>
      <c r="B7" s="6" t="s">
        <v>34</v>
      </c>
      <c r="C7" s="6" t="s">
        <v>36</v>
      </c>
      <c r="D7" s="6" t="s">
        <v>37</v>
      </c>
    </row>
    <row r="8" ht="55.5" customHeight="1">
      <c r="A8" s="7" t="s">
        <v>39</v>
      </c>
      <c r="B8" s="7" t="s">
        <v>40</v>
      </c>
      <c r="C8" s="7" t="s">
        <v>42</v>
      </c>
      <c r="D8" s="7" t="s">
        <v>44</v>
      </c>
    </row>
    <row r="9" ht="55.5" customHeight="1">
      <c r="A9" s="6" t="s">
        <v>45</v>
      </c>
      <c r="B9" s="6" t="s">
        <v>46</v>
      </c>
      <c r="C9" s="6" t="s">
        <v>48</v>
      </c>
      <c r="D9" s="6" t="s">
        <v>49</v>
      </c>
    </row>
    <row r="10" ht="55.5" customHeight="1">
      <c r="A10" s="7" t="s">
        <v>50</v>
      </c>
      <c r="B10" s="7" t="s">
        <v>46</v>
      </c>
      <c r="C10" s="7" t="s">
        <v>52</v>
      </c>
      <c r="D10" s="7" t="s">
        <v>53</v>
      </c>
    </row>
    <row r="11" ht="55.5" customHeight="1">
      <c r="A11" s="6" t="s">
        <v>55</v>
      </c>
      <c r="B11" s="6" t="s">
        <v>56</v>
      </c>
      <c r="C11" s="6" t="s">
        <v>57</v>
      </c>
      <c r="D11" s="6" t="s">
        <v>59</v>
      </c>
    </row>
    <row r="12" ht="55.5" customHeight="1">
      <c r="A12" s="7" t="s">
        <v>60</v>
      </c>
      <c r="B12" s="7" t="s">
        <v>61</v>
      </c>
      <c r="C12" s="7" t="s">
        <v>62</v>
      </c>
      <c r="D12" s="7" t="s">
        <v>63</v>
      </c>
    </row>
    <row r="13" ht="55.5" customHeight="1">
      <c r="A13" s="6" t="s">
        <v>65</v>
      </c>
      <c r="B13" s="6" t="s">
        <v>46</v>
      </c>
      <c r="C13" s="6" t="s">
        <v>66</v>
      </c>
      <c r="D13" s="6" t="s">
        <v>67</v>
      </c>
    </row>
    <row r="14" ht="27.75" customHeight="1"/>
    <row r="15" ht="28.5" customHeight="1">
      <c r="A15" s="14" t="s">
        <v>69</v>
      </c>
      <c r="B15" s="15"/>
      <c r="C15" s="15"/>
      <c r="D15" s="16"/>
    </row>
    <row r="16" ht="31.5" customHeight="1">
      <c r="A16" s="5" t="s">
        <v>70</v>
      </c>
      <c r="B16" s="5" t="s">
        <v>71</v>
      </c>
      <c r="C16" s="5" t="s">
        <v>72</v>
      </c>
      <c r="D16" s="5" t="s">
        <v>73</v>
      </c>
    </row>
    <row r="17" ht="69.75" customHeight="1">
      <c r="A17" s="8" t="s">
        <v>74</v>
      </c>
      <c r="B17" s="6" t="s">
        <v>76</v>
      </c>
      <c r="C17" s="6" t="s">
        <v>77</v>
      </c>
      <c r="D17" s="6" t="s">
        <v>78</v>
      </c>
    </row>
    <row r="18" ht="69.75" customHeight="1">
      <c r="A18" s="13" t="s">
        <v>80</v>
      </c>
      <c r="B18" s="7" t="s">
        <v>81</v>
      </c>
      <c r="C18" s="7" t="s">
        <v>82</v>
      </c>
      <c r="D18" s="7" t="s">
        <v>83</v>
      </c>
    </row>
    <row r="19" ht="69.75" customHeight="1">
      <c r="A19" s="8" t="s">
        <v>84</v>
      </c>
      <c r="B19" s="6" t="s">
        <v>85</v>
      </c>
      <c r="C19" s="6" t="s">
        <v>86</v>
      </c>
      <c r="D19" s="6" t="s">
        <v>88</v>
      </c>
    </row>
    <row r="20" ht="69.75" customHeight="1">
      <c r="A20" s="13" t="s">
        <v>90</v>
      </c>
      <c r="B20" s="7" t="s">
        <v>93</v>
      </c>
      <c r="C20" s="7" t="s">
        <v>94</v>
      </c>
      <c r="D20" s="7" t="s">
        <v>97</v>
      </c>
    </row>
    <row r="21" ht="69.75" customHeight="1">
      <c r="A21" s="8" t="s">
        <v>100</v>
      </c>
      <c r="B21" s="6" t="s">
        <v>102</v>
      </c>
      <c r="C21" s="6" t="s">
        <v>104</v>
      </c>
      <c r="D21" s="6" t="s">
        <v>105</v>
      </c>
    </row>
    <row r="22" ht="69.75" customHeight="1">
      <c r="A22" s="13" t="s">
        <v>108</v>
      </c>
      <c r="B22" s="7" t="s">
        <v>81</v>
      </c>
      <c r="C22" s="7" t="s">
        <v>111</v>
      </c>
      <c r="D22" s="7" t="s">
        <v>113</v>
      </c>
    </row>
    <row r="23" ht="69.75" customHeight="1">
      <c r="A23" s="8" t="s">
        <v>116</v>
      </c>
      <c r="B23" s="6" t="s">
        <v>119</v>
      </c>
      <c r="C23" s="6" t="s">
        <v>120</v>
      </c>
      <c r="D23" s="6" t="s">
        <v>122</v>
      </c>
    </row>
    <row r="24" ht="69.75" customHeight="1">
      <c r="A24" s="13" t="s">
        <v>126</v>
      </c>
      <c r="B24" s="7" t="s">
        <v>129</v>
      </c>
      <c r="C24" s="7" t="s">
        <v>130</v>
      </c>
      <c r="D24" s="7" t="s">
        <v>134</v>
      </c>
    </row>
    <row r="25" ht="69.75" customHeight="1">
      <c r="A25" s="8" t="s">
        <v>138</v>
      </c>
      <c r="B25" s="6" t="s">
        <v>140</v>
      </c>
      <c r="C25" s="6" t="s">
        <v>142</v>
      </c>
      <c r="D25" s="6" t="s">
        <v>143</v>
      </c>
    </row>
    <row r="26" ht="69.75" customHeight="1">
      <c r="A26" s="13" t="s">
        <v>145</v>
      </c>
      <c r="B26" s="7" t="s">
        <v>41</v>
      </c>
      <c r="C26" s="7" t="s">
        <v>151</v>
      </c>
      <c r="D26" s="7" t="s">
        <v>153</v>
      </c>
    </row>
    <row r="27" ht="69.75" customHeight="1">
      <c r="A27" s="8" t="s">
        <v>157</v>
      </c>
      <c r="B27" s="6" t="s">
        <v>81</v>
      </c>
      <c r="C27" s="6" t="s">
        <v>158</v>
      </c>
      <c r="D27" s="6" t="s">
        <v>160</v>
      </c>
    </row>
    <row r="28" ht="69.75" customHeight="1">
      <c r="A28" s="13" t="s">
        <v>163</v>
      </c>
      <c r="B28" s="7" t="s">
        <v>164</v>
      </c>
      <c r="C28" s="7" t="s">
        <v>165</v>
      </c>
      <c r="D28" s="7" t="s">
        <v>167</v>
      </c>
    </row>
    <row r="29" ht="15.75" customHeight="1"/>
    <row r="30" ht="28.5" customHeight="1">
      <c r="A30" s="14" t="s">
        <v>173</v>
      </c>
      <c r="B30" s="15"/>
      <c r="C30" s="15"/>
      <c r="D30" s="16"/>
    </row>
    <row r="31" ht="42.75" customHeight="1">
      <c r="A31" s="23" t="s">
        <v>192</v>
      </c>
      <c r="B31" s="24" t="s">
        <v>201</v>
      </c>
      <c r="C31" s="15"/>
      <c r="D31" s="16"/>
    </row>
    <row r="32" ht="42.75" customHeight="1">
      <c r="A32" s="6" t="s">
        <v>215</v>
      </c>
      <c r="B32" s="6" t="s">
        <v>217</v>
      </c>
    </row>
    <row r="33" ht="42.75" customHeight="1">
      <c r="A33" s="23" t="s">
        <v>223</v>
      </c>
      <c r="B33" s="24" t="s">
        <v>225</v>
      </c>
      <c r="C33" s="15"/>
      <c r="D33" s="16"/>
    </row>
    <row r="34" ht="42.75" customHeight="1">
      <c r="A34" s="6" t="s">
        <v>237</v>
      </c>
      <c r="B34" s="6" t="s">
        <v>240</v>
      </c>
    </row>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A1:D1"/>
    <mergeCell ref="A2:D2"/>
    <mergeCell ref="A15:D15"/>
    <mergeCell ref="A30:D30"/>
    <mergeCell ref="B31:D31"/>
    <mergeCell ref="B32:D32"/>
    <mergeCell ref="B33:D33"/>
    <mergeCell ref="B34:D34"/>
  </mergeCells>
  <printOptions/>
  <pageMargins bottom="0.75" footer="0.0" header="0.0" left="0.7" right="0.7" top="0.75"/>
  <pageSetup orientation="landscape"/>
  <drawing r:id="rId1"/>
</worksheet>
</file>